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887c1dfaed493b" /></Relationships>
</file>

<file path=xl/workbook.xml><?xml version="1.0" encoding="utf-8"?>
<x:workbook xmlns:x="http://schemas.openxmlformats.org/spreadsheetml/2006/main">
  <x:sheets>
    <x:sheet xmlns:r="http://schemas.openxmlformats.org/officeDocument/2006/relationships" name="Executive Summary" sheetId="1" r:id="R153d4fe0c7994e8b"/>
    <x:sheet xmlns:r="http://schemas.openxmlformats.org/officeDocument/2006/relationships" name="Feature Matrix" sheetId="2" r:id="Re82a39bf732949c3"/>
    <x:sheet xmlns:r="http://schemas.openxmlformats.org/officeDocument/2006/relationships" name="Data Access" sheetId="3" r:id="R6ef7a762fd0e4b58"/>
    <x:sheet xmlns:r="http://schemas.openxmlformats.org/officeDocument/2006/relationships" name="Evaluation Protocol" sheetId="4" r:id="Ref1b848a61794166"/>
    <x:sheet xmlns:r="http://schemas.openxmlformats.org/officeDocument/2006/relationships" name="Codebook" sheetId="5" r:id="R90607c641a794a1a"/>
    <x:sheet xmlns:r="http://schemas.openxmlformats.org/officeDocument/2006/relationships" name="Evidence Registry" sheetId="6" r:id="Rddc1b832d2d94bf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quot;△&quot;"/>
    <x:numFmt numFmtId="201" formatCode="[=1]&quot;✓&quot;;[=0]&quot;✗&quot;;&quot;△&quot;"/>
    <x:numFmt numFmtId="202" formatCode="0.0"/>
  </x:numFmts>
  <x:fonts count="17">
    <x:font>
      <x:sz val="11"/>
      <x:name val="Carlito"/>
    </x:font>
    <x:font>
      <x:b/>
      <x:sz val="18"/>
      <x:color rgb="FFFFFFFF"/>
      <x:name val="Carlito"/>
    </x:font>
    <x:font>
      <x:b/>
      <x:sz val="11"/>
      <x:color rgb="FFFFFFFF"/>
      <x:name val="Carlito"/>
    </x:font>
    <x:font>
      <x:sz val="11"/>
      <x:color rgb="FF7A5200"/>
      <x:name val="Carlito"/>
    </x:font>
    <x:font>
      <x:sz val="11"/>
      <x:color rgb="FF172B3A"/>
      <x:name val="Carlito"/>
    </x:font>
    <x:font>
      <x:b/>
      <x:sz val="10"/>
      <x:color rgb="FFFFFFFF"/>
      <x:name val="Carlito"/>
    </x:font>
    <x:font>
      <x:sz val="9"/>
      <x:color rgb="FF172B3A"/>
      <x:name val="Carlito"/>
    </x:font>
    <x:font>
      <x:i/>
      <x:sz val="11"/>
      <x:color rgb="FF7A5200"/>
      <x:name val="Carlito"/>
    </x:font>
    <x:font>
      <x:b/>
      <x:sz val="11"/>
      <x:color rgb="FFA12A22"/>
      <x:name val="Carlito"/>
    </x:font>
    <x:font>
      <x:sz val="8"/>
      <x:color rgb="FF172B3A"/>
      <x:name val="Carlito"/>
    </x:font>
    <x:font>
      <x:b/>
      <x:sz val="22"/>
      <x:color rgb="FFFFFFFF"/>
      <x:name val="Carlito"/>
    </x:font>
    <x:font>
      <x:i/>
      <x:sz val="10"/>
      <x:color rgb="FFFFFFFF"/>
      <x:name val="Carlito"/>
    </x:font>
    <x:font>
      <x:b/>
      <x:sz val="25"/>
      <x:color rgb="FF0B1F33"/>
      <x:name val="Carlito"/>
    </x:font>
    <x:font>
      <x:b/>
      <x:sz val="12"/>
      <x:color rgb="FFFFFFFF"/>
      <x:name val="Carlito"/>
    </x:font>
    <x:font>
      <x:sz val="10"/>
      <x:color rgb="FF7A5200"/>
      <x:name val="Carlito"/>
    </x:font>
    <x:font>
      <x:sz val="8"/>
      <x:color rgb="FF526775"/>
      <x:name val="Carlito"/>
    </x:font>
    <x:font>
      <x:sz val="10"/>
      <x:color rgb="FFA12A22"/>
      <x:name val="Carlito"/>
    </x:font>
  </x:fonts>
  <x:fills count="10">
    <x:fill>
      <x:patternFill patternType="none"/>
    </x:fill>
    <x:fill>
      <x:patternFill patternType="gray125"/>
    </x:fill>
    <x:fill>
      <x:patternFill patternType="solid">
        <x:fgColor rgb="FF0B1F33"/>
      </x:patternFill>
    </x:fill>
    <x:fill>
      <x:patternFill patternType="solid">
        <x:fgColor rgb="FF173B57"/>
      </x:patternFill>
    </x:fill>
    <x:fill>
      <x:patternFill patternType="solid">
        <x:fgColor rgb="FFFFF1CC"/>
      </x:patternFill>
    </x:fill>
    <x:fill>
      <x:patternFill patternType="solid">
        <x:fgColor rgb="FFEAF2F8"/>
      </x:patternFill>
    </x:fill>
    <x:fill>
      <x:patternFill patternType="solid">
        <x:fgColor rgb="FFE6F5F3"/>
      </x:patternFill>
    </x:fill>
    <x:fill>
      <x:patternFill patternType="solid">
        <x:fgColor rgb="FFFCE8E6"/>
      </x:patternFill>
    </x:fill>
    <x:fill>
      <x:patternFill patternType="solid">
        <x:fgColor rgb="FF007A75"/>
      </x:patternFill>
    </x:fill>
    <x:fill>
      <x:patternFill patternType="solid">
        <x:fgColor rgb="FFA12A22"/>
      </x:patternFill>
    </x:fill>
  </x:fills>
  <x:borders count="35">
    <x:border/>
    <x:border>
      <x:right style="thin">
        <x:color rgb="FFE1E8ED"/>
      </x:right>
      <x:bottom style="thin">
        <x:color rgb="FFE1E8ED"/>
      </x:bottom>
    </x:border>
    <x:border>
      <x:left style="thin">
        <x:color rgb="FFE1E8ED"/>
      </x:left>
      <x:bottom style="thin">
        <x:color rgb="FFE1E8ED"/>
      </x:bottom>
    </x:border>
    <x:border>
      <x:right style="thin">
        <x:color rgb="FFE1E8ED"/>
      </x:right>
      <x:top style="thin">
        <x:color rgb="FFE1E8ED"/>
      </x:top>
      <x:bottom style="thin">
        <x:color rgb="FFE1E8ED"/>
      </x:bottom>
    </x:border>
    <x:border>
      <x:left style="thin">
        <x:color rgb="FFE1E8ED"/>
      </x:left>
      <x:top style="thin">
        <x:color rgb="FFE1E8ED"/>
      </x:top>
      <x:bottom style="thin">
        <x:color rgb="FFE1E8ED"/>
      </x:bottom>
    </x:border>
    <x:border>
      <x:right style="thin">
        <x:color rgb="FFE1E8ED"/>
      </x:right>
      <x:top style="thin">
        <x:color rgb="FFE1E8ED"/>
      </x:top>
    </x:border>
    <x:border>
      <x:left style="thin">
        <x:color rgb="FFE1E8ED"/>
      </x:left>
      <x:top style="thin">
        <x:color rgb="FFE1E8ED"/>
      </x:top>
    </x:border>
    <x:border>
      <x:bottom style="double">
        <x:color rgb="FF00A7A0"/>
      </x:bottom>
    </x:border>
    <x:border>
      <x:top style="medium">
        <x:color rgb="FF00A7A0"/>
      </x:top>
    </x:border>
    <x:border>
      <x:left style="thin">
        <x:color rgb="FFE1E8ED"/>
      </x:left>
      <x:right style="thin">
        <x:color rgb="FFE1E8ED"/>
      </x:right>
      <x:bottom style="thin">
        <x:color rgb="FFE1E8ED"/>
      </x:bottom>
    </x:border>
    <x:border>
      <x:left style="thin">
        <x:color rgb="FFE1E8ED"/>
      </x:left>
      <x:right style="thin">
        <x:color rgb="FFE1E8ED"/>
      </x:right>
      <x:top style="thin">
        <x:color rgb="FFE1E8ED"/>
      </x:top>
      <x:bottom style="thin">
        <x:color rgb="FFE1E8ED"/>
      </x:bottom>
    </x:border>
    <x:border>
      <x:left style="thin">
        <x:color rgb="FFE1E8ED"/>
      </x:left>
      <x:right style="thin">
        <x:color rgb="FFE1E8ED"/>
      </x:right>
      <x:top style="thin">
        <x:color rgb="FFE1E8ED"/>
      </x:top>
    </x:border>
    <x:border>
      <x:left style="thin">
        <x:color rgb="FF00A7A0"/>
      </x:left>
      <x:top style="thin">
        <x:color rgb="FF00A7A0"/>
      </x:top>
    </x:border>
    <x:border>
      <x:top style="thin">
        <x:color rgb="FF00A7A0"/>
      </x:top>
    </x:border>
    <x:border>
      <x:right style="thin">
        <x:color rgb="FF00A7A0"/>
      </x:right>
      <x:top style="thin">
        <x:color rgb="FF00A7A0"/>
      </x:top>
    </x:border>
    <x:border>
      <x:left style="thin">
        <x:color rgb="FF00A7A0"/>
      </x:left>
    </x:border>
    <x:border>
      <x:right style="thin">
        <x:color rgb="FF00A7A0"/>
      </x:right>
    </x:border>
    <x:border>
      <x:left style="thin">
        <x:color rgb="FF00A7A0"/>
      </x:left>
      <x:bottom style="thin">
        <x:color rgb="FF00A7A0"/>
      </x:bottom>
    </x:border>
    <x:border>
      <x:bottom style="thin">
        <x:color rgb="FF00A7A0"/>
      </x:bottom>
    </x:border>
    <x:border>
      <x:right style="thin">
        <x:color rgb="FF00A7A0"/>
      </x:right>
      <x:bottom style="thin">
        <x:color rgb="FF00A7A0"/>
      </x:bottom>
    </x:border>
    <x:border>
      <x:left style="medium">
        <x:color rgb="FF00A7A0"/>
      </x:left>
      <x:top style="medium">
        <x:color rgb="FF00A7A0"/>
      </x:top>
    </x:border>
    <x:border>
      <x:right style="medium">
        <x:color rgb="FF00A7A0"/>
      </x:right>
      <x:top style="medium">
        <x:color rgb="FF00A7A0"/>
      </x:top>
    </x:border>
    <x:border>
      <x:left style="medium">
        <x:color rgb="FF00A7A0"/>
      </x:left>
    </x:border>
    <x:border>
      <x:right style="medium">
        <x:color rgb="FF00A7A0"/>
      </x:right>
    </x:border>
    <x:border>
      <x:left style="medium">
        <x:color rgb="FF00A7A0"/>
      </x:left>
      <x:bottom style="medium">
        <x:color rgb="FF00A7A0"/>
      </x:bottom>
    </x:border>
    <x:border>
      <x:bottom style="medium">
        <x:color rgb="FF00A7A0"/>
      </x:bottom>
    </x:border>
    <x:border>
      <x:right style="medium">
        <x:color rgb="FF00A7A0"/>
      </x:right>
      <x:bottom style="medium">
        <x:color rgb="FF00A7A0"/>
      </x:bottom>
    </x:border>
    <x:border>
      <x:left style="thin">
        <x:color rgb="FF7A5200"/>
      </x:left>
      <x:top style="thin">
        <x:color rgb="FF7A5200"/>
      </x:top>
    </x:border>
    <x:border>
      <x:top style="thin">
        <x:color rgb="FF7A5200"/>
      </x:top>
    </x:border>
    <x:border>
      <x:right style="thin">
        <x:color rgb="FF7A5200"/>
      </x:right>
      <x:top style="thin">
        <x:color rgb="FF7A5200"/>
      </x:top>
    </x:border>
    <x:border>
      <x:left style="thin">
        <x:color rgb="FF7A5200"/>
      </x:left>
    </x:border>
    <x:border>
      <x:right style="thin">
        <x:color rgb="FF7A5200"/>
      </x:right>
    </x:border>
    <x:border>
      <x:left style="thin">
        <x:color rgb="FF7A5200"/>
      </x:left>
      <x:bottom style="thin">
        <x:color rgb="FF7A5200"/>
      </x:bottom>
    </x:border>
    <x:border>
      <x:bottom style="thin">
        <x:color rgb="FF7A5200"/>
      </x:bottom>
    </x:border>
    <x:border>
      <x:right style="thin">
        <x:color rgb="FF7A5200"/>
      </x:right>
      <x:bottom style="thin">
        <x:color rgb="FF7A5200"/>
      </x:bottom>
    </x:border>
  </x:borders>
  <x:cellStyleXfs count="1">
    <x:xf numFmtId="0" fontId="0" fillId="0" borderId="0"/>
  </x:cellStyleXfs>
  <x:cellXfs count="2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5" fillId="2" borderId="0" xfId="0" applyNumberFormat="1" applyFont="1" applyFill="1" applyBorder="1"/>
    <x:xf numFmtId="0" fontId="5" fillId="2" borderId="7" xfId="0" applyNumberFormat="1" applyFont="1" applyFill="1" applyBorder="1"/>
    <x:xf numFmtId="0" fontId="5" fillId="2" borderId="7" xfId="0" applyNumberFormat="1" applyFont="1" applyFill="1" applyBorder="1" applyAlignment="1">
      <x:alignment wrapText="1"/>
    </x:xf>
    <x:xf numFmtId="0" fontId="5" fillId="2" borderId="7" xfId="0" applyNumberFormat="1" applyFont="1" applyFill="1" applyBorder="1" applyAlignment="1">
      <x:alignment horizontal="center" wrapText="1"/>
    </x:xf>
    <x:xf numFmtId="0" fontId="5" fillId="2" borderId="7" xfId="0" applyNumberFormat="1" applyFont="1" applyFill="1" applyBorder="1" applyAlignment="1">
      <x:alignment horizontal="center" vertical="center" wrapText="1"/>
    </x:xf>
    <x:xf numFmtId="0" fontId="6" fillId="0" borderId="0" xfId="0" applyNumberFormat="1" applyFont="1" applyFill="1" applyBorder="1"/>
    <x:xf numFmtId="200" fontId="6" fillId="0" borderId="0" xfId="0" applyNumberFormat="1" applyFont="1" applyFill="1" applyBorder="1"/>
    <x:xf numFmtId="200" fontId="6" fillId="0" borderId="0" xfId="0" applyNumberFormat="1" applyFont="1" applyFill="1" applyBorder="1" applyAlignment="1">
      <x:alignment horizontal="center"/>
    </x:xf>
    <x:xf numFmtId="200" fontId="6" fillId="0" borderId="0" xfId="0" applyNumberFormat="1" applyFont="1" applyFill="1" applyBorder="1" applyAlignment="1">
      <x:alignment horizontal="center" vertical="center"/>
    </x:xf>
    <x:xf numFmtId="201" fontId="6" fillId="0" borderId="0" xfId="0" applyNumberFormat="1" applyFont="1" applyFill="1" applyBorder="1" applyAlignment="1">
      <x:alignment horizontal="center" vertical="center"/>
    </x:xf>
    <x:xf numFmtId="202" fontId="6" fillId="0" borderId="0" xfId="0" applyNumberFormat="1" applyFont="1" applyFill="1" applyBorder="1"/>
    <x:xf numFmtId="202" fontId="6" fillId="0" borderId="0" xfId="0" applyNumberFormat="1" applyFont="1" applyFill="1" applyBorder="1" applyAlignment="1">
      <x:alignment horizontal="center"/>
    </x:xf>
    <x:xf numFmtId="0" fontId="6" fillId="0" borderId="0" xfId="0" applyNumberFormat="1" applyFont="1" applyFill="1" applyBorder="1" applyAlignment="1">
      <x:alignment wrapText="1"/>
    </x:xf>
    <x:xf numFmtId="0" fontId="6" fillId="5" borderId="0" xfId="0" applyNumberFormat="1" applyFont="1" applyFill="1" applyBorder="1"/>
    <x:xf numFmtId="0" fontId="6" fillId="5" borderId="0" xfId="0" applyNumberFormat="1" applyFont="1" applyFill="1" applyBorder="1" applyAlignment="1">
      <x:alignment wrapText="1"/>
    </x:xf>
    <x:xf numFmtId="201" fontId="6" fillId="5" borderId="0" xfId="0" applyNumberFormat="1" applyFont="1" applyFill="1" applyBorder="1" applyAlignment="1">
      <x:alignment horizontal="center" vertical="center"/>
    </x:xf>
    <x:xf numFmtId="202" fontId="6" fillId="5" borderId="0" xfId="0" applyNumberFormat="1" applyFont="1" applyFill="1" applyBorder="1" applyAlignment="1">
      <x:alignment horizontal="center"/>
    </x:xf>
    <x:xf numFmtId="0" fontId="6" fillId="0" borderId="8" xfId="0" applyNumberFormat="1" applyFont="1" applyFill="1" applyBorder="1"/>
    <x:xf numFmtId="0" fontId="6" fillId="0" borderId="8" xfId="0" applyNumberFormat="1" applyFont="1" applyFill="1" applyBorder="1" applyAlignment="1">
      <x:alignment wrapText="1"/>
    </x:xf>
    <x:xf numFmtId="201" fontId="6" fillId="0" borderId="8" xfId="0" applyNumberFormat="1" applyFont="1" applyFill="1" applyBorder="1" applyAlignment="1">
      <x:alignment horizontal="center" vertical="center"/>
    </x:xf>
    <x:xf numFmtId="202" fontId="6" fillId="0" borderId="8" xfId="0" applyNumberFormat="1" applyFont="1" applyFill="1" applyBorder="1" applyAlignment="1">
      <x:alignment horizontal="center"/>
    </x:xf>
    <x:xf numFmtId="0" fontId="7" fillId="4" borderId="0" xfId="0" applyNumberFormat="1" applyFont="1" applyFill="1" applyBorder="1"/>
    <x:xf numFmtId="0" fontId="7" fillId="4"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5" borderId="9"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6" fillId="6" borderId="10"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6" fillId="6" borderId="6"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6" fillId="5" borderId="3" xfId="0" applyNumberFormat="1" applyFont="1" applyFill="1" applyBorder="1" applyAlignment="1">
      <x:alignment vertical="top" wrapText="1"/>
    </x:xf>
    <x:xf numFmtId="0" fontId="6" fillId="5" borderId="10"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10"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6" fillId="4" borderId="11"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11" fillId="3" borderId="0" xfId="0" applyNumberFormat="1" applyFont="1" applyFill="1" applyBorder="1"/>
    <x:xf numFmtId="0" fontId="11" fillId="3" borderId="0" xfId="0" applyNumberFormat="1" applyFont="1" applyFill="1" applyBorder="1" applyAlignment="1">
      <x:alignment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xf numFmtId="0" fontId="0" fillId="6" borderId="0" xfId="0" applyNumberFormat="1" applyFont="1" applyFill="1" applyBorder="1"/>
    <x:xf numFmtId="0" fontId="12" fillId="6" borderId="0" xfId="0" applyNumberFormat="1" applyFont="1" applyFill="1" applyBorder="1"/>
    <x:xf numFmtId="0" fontId="12" fillId="6" borderId="12" xfId="0" applyNumberFormat="1" applyFont="1" applyFill="1" applyBorder="1"/>
    <x:xf numFmtId="0" fontId="12" fillId="6" borderId="13" xfId="0" applyNumberFormat="1" applyFont="1" applyFill="1" applyBorder="1"/>
    <x:xf numFmtId="0" fontId="12" fillId="6" borderId="14" xfId="0" applyNumberFormat="1" applyFont="1" applyFill="1" applyBorder="1"/>
    <x:xf numFmtId="0" fontId="12" fillId="6" borderId="15" xfId="0" applyNumberFormat="1" applyFont="1" applyFill="1" applyBorder="1"/>
    <x:xf numFmtId="0" fontId="12" fillId="6" borderId="16" xfId="0" applyNumberFormat="1" applyFont="1" applyFill="1" applyBorder="1"/>
    <x:xf numFmtId="0" fontId="12" fillId="6" borderId="17" xfId="0" applyNumberFormat="1" applyFont="1" applyFill="1" applyBorder="1"/>
    <x:xf numFmtId="0" fontId="12" fillId="6" borderId="18" xfId="0" applyNumberFormat="1" applyFont="1" applyFill="1" applyBorder="1"/>
    <x:xf numFmtId="0" fontId="12" fillId="6" borderId="19" xfId="0" applyNumberFormat="1" applyFont="1" applyFill="1" applyBorder="1"/>
    <x:xf numFmtId="0" fontId="12" fillId="6" borderId="12" xfId="0" applyNumberFormat="1" applyFont="1" applyFill="1" applyBorder="1" applyAlignment="1">
      <x:alignment horizontal="center"/>
    </x:xf>
    <x:xf numFmtId="0" fontId="12" fillId="6" borderId="13" xfId="0" applyNumberFormat="1" applyFont="1" applyFill="1" applyBorder="1" applyAlignment="1">
      <x:alignment horizontal="center"/>
    </x:xf>
    <x:xf numFmtId="0" fontId="12" fillId="6" borderId="14" xfId="0" applyNumberFormat="1" applyFont="1" applyFill="1" applyBorder="1" applyAlignment="1">
      <x:alignment horizontal="center"/>
    </x:xf>
    <x:xf numFmtId="0" fontId="12" fillId="6" borderId="15" xfId="0" applyNumberFormat="1" applyFont="1" applyFill="1" applyBorder="1" applyAlignment="1">
      <x:alignment horizontal="center"/>
    </x:xf>
    <x:xf numFmtId="0" fontId="12" fillId="6" borderId="0" xfId="0" applyNumberFormat="1" applyFont="1" applyFill="1" applyBorder="1" applyAlignment="1">
      <x:alignment horizontal="center"/>
    </x:xf>
    <x:xf numFmtId="0" fontId="12" fillId="6" borderId="16" xfId="0" applyNumberFormat="1" applyFont="1" applyFill="1" applyBorder="1" applyAlignment="1">
      <x:alignment horizontal="center"/>
    </x:xf>
    <x:xf numFmtId="0" fontId="12" fillId="6" borderId="17" xfId="0" applyNumberFormat="1" applyFont="1" applyFill="1" applyBorder="1" applyAlignment="1">
      <x:alignment horizontal="center"/>
    </x:xf>
    <x:xf numFmtId="0" fontId="12" fillId="6" borderId="18" xfId="0" applyNumberFormat="1" applyFont="1" applyFill="1" applyBorder="1" applyAlignment="1">
      <x:alignment horizontal="center"/>
    </x:xf>
    <x:xf numFmtId="0" fontId="12" fillId="6" borderId="19" xfId="0" applyNumberFormat="1" applyFont="1" applyFill="1" applyBorder="1" applyAlignment="1">
      <x:alignment horizontal="center"/>
    </x:xf>
    <x:xf numFmtId="0" fontId="12" fillId="6" borderId="12" xfId="0" applyNumberFormat="1" applyFont="1" applyFill="1" applyBorder="1" applyAlignment="1">
      <x:alignment horizontal="center" vertical="center"/>
    </x:xf>
    <x:xf numFmtId="0" fontId="12" fillId="6" borderId="13" xfId="0" applyNumberFormat="1" applyFont="1" applyFill="1" applyBorder="1" applyAlignment="1">
      <x:alignment horizontal="center" vertical="center"/>
    </x:xf>
    <x:xf numFmtId="0" fontId="12" fillId="6" borderId="14" xfId="0" applyNumberFormat="1" applyFont="1" applyFill="1" applyBorder="1" applyAlignment="1">
      <x:alignment horizontal="center" vertical="center"/>
    </x:xf>
    <x:xf numFmtId="0" fontId="12" fillId="6" borderId="15" xfId="0" applyNumberFormat="1" applyFont="1" applyFill="1" applyBorder="1" applyAlignment="1">
      <x:alignment horizontal="center" vertical="center"/>
    </x:xf>
    <x:xf numFmtId="0" fontId="12" fillId="6" borderId="0" xfId="0" applyNumberFormat="1" applyFont="1" applyFill="1" applyBorder="1" applyAlignment="1">
      <x:alignment horizontal="center" vertical="center"/>
    </x:xf>
    <x:xf numFmtId="0" fontId="12" fillId="6" borderId="16" xfId="0" applyNumberFormat="1" applyFont="1" applyFill="1" applyBorder="1" applyAlignment="1">
      <x:alignment horizontal="center" vertical="center"/>
    </x:xf>
    <x:xf numFmtId="0" fontId="12" fillId="6" borderId="17" xfId="0" applyNumberFormat="1" applyFont="1" applyFill="1" applyBorder="1" applyAlignment="1">
      <x:alignment horizontal="center" vertical="center"/>
    </x:xf>
    <x:xf numFmtId="0" fontId="12" fillId="6" borderId="18" xfId="0" applyNumberFormat="1" applyFont="1" applyFill="1" applyBorder="1" applyAlignment="1">
      <x:alignment horizontal="center" vertical="center"/>
    </x:xf>
    <x:xf numFmtId="0" fontId="12" fillId="6" borderId="19" xfId="0" applyNumberFormat="1" applyFont="1" applyFill="1" applyBorder="1" applyAlignment="1">
      <x:alignment horizontal="center" vertical="center"/>
    </x:xf>
    <x:xf numFmtId="0" fontId="13" fillId="3" borderId="0" xfId="0" applyNumberFormat="1" applyFont="1" applyFill="1" applyBorder="1"/>
    <x:xf numFmtId="0" fontId="4" fillId="5" borderId="20" xfId="0" applyNumberFormat="1" applyFont="1" applyFill="1" applyBorder="1"/>
    <x:xf numFmtId="0" fontId="4" fillId="5" borderId="8" xfId="0" applyNumberFormat="1" applyFont="1" applyFill="1" applyBorder="1"/>
    <x:xf numFmtId="0" fontId="4" fillId="5" borderId="21" xfId="0" applyNumberFormat="1" applyFont="1" applyFill="1" applyBorder="1"/>
    <x:xf numFmtId="0" fontId="4" fillId="5" borderId="22" xfId="0" applyNumberFormat="1" applyFont="1" applyFill="1" applyBorder="1"/>
    <x:xf numFmtId="0" fontId="4" fillId="5" borderId="23" xfId="0" applyNumberFormat="1" applyFont="1" applyFill="1" applyBorder="1"/>
    <x:xf numFmtId="0" fontId="4" fillId="5" borderId="24" xfId="0" applyNumberFormat="1" applyFont="1" applyFill="1" applyBorder="1"/>
    <x:xf numFmtId="0" fontId="4" fillId="5" borderId="25" xfId="0" applyNumberFormat="1" applyFont="1" applyFill="1" applyBorder="1"/>
    <x:xf numFmtId="0" fontId="4" fillId="5" borderId="26" xfId="0" applyNumberFormat="1" applyFont="1" applyFill="1" applyBorder="1"/>
    <x:xf numFmtId="0" fontId="4" fillId="5" borderId="20"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22" xfId="0" applyNumberFormat="1" applyFont="1" applyFill="1" applyBorder="1" applyAlignment="1">
      <x:alignment wrapText="1"/>
    </x:xf>
    <x:xf numFmtId="0" fontId="4" fillId="5" borderId="23" xfId="0" applyNumberFormat="1" applyFont="1" applyFill="1" applyBorder="1" applyAlignment="1">
      <x:alignment wrapText="1"/>
    </x:xf>
    <x:xf numFmtId="0" fontId="4" fillId="5" borderId="24" xfId="0" applyNumberFormat="1" applyFont="1" applyFill="1" applyBorder="1" applyAlignment="1">
      <x:alignment wrapText="1"/>
    </x:xf>
    <x:xf numFmtId="0" fontId="4" fillId="5" borderId="25" xfId="0" applyNumberFormat="1" applyFont="1" applyFill="1" applyBorder="1" applyAlignment="1">
      <x:alignment wrapText="1"/>
    </x:xf>
    <x:xf numFmtId="0" fontId="4" fillId="5" borderId="26" xfId="0" applyNumberFormat="1" applyFont="1" applyFill="1" applyBorder="1" applyAlignment="1">
      <x:alignment wrapText="1"/>
    </x:xf>
    <x:xf numFmtId="0" fontId="4" fillId="5" borderId="20"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4" fillId="5" borderId="21" xfId="0" applyNumberFormat="1" applyFont="1" applyFill="1" applyBorder="1" applyAlignment="1">
      <x:alignment vertical="center" wrapText="1"/>
    </x:xf>
    <x:xf numFmtId="0" fontId="4" fillId="5" borderId="22"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23" xfId="0" applyNumberFormat="1" applyFont="1" applyFill="1" applyBorder="1" applyAlignment="1">
      <x:alignment vertical="center" wrapText="1"/>
    </x:xf>
    <x:xf numFmtId="0" fontId="4" fillId="5" borderId="24" xfId="0" applyNumberFormat="1" applyFont="1" applyFill="1" applyBorder="1" applyAlignment="1">
      <x:alignment vertical="center" wrapText="1"/>
    </x:xf>
    <x:xf numFmtId="0" fontId="4" fillId="5" borderId="25" xfId="0" applyNumberFormat="1" applyFont="1" applyFill="1" applyBorder="1" applyAlignment="1">
      <x:alignment vertical="center" wrapText="1"/>
    </x:xf>
    <x:xf numFmtId="0" fontId="4" fillId="5" borderId="26" xfId="0" applyNumberFormat="1" applyFont="1" applyFill="1" applyBorder="1" applyAlignment="1">
      <x:alignment vertical="center" wrapText="1"/>
    </x:xf>
    <x:xf numFmtId="0" fontId="2" fillId="3" borderId="0" xfId="0" applyNumberFormat="1" applyFont="1" applyFill="1" applyBorder="1" applyAlignment="1">
      <x:alignment horizontal="center"/>
    </x:xf>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202" fontId="0" fillId="0" borderId="9" xfId="0" applyNumberFormat="1" applyFont="1" applyFill="1" applyBorder="1" applyAlignment="1">
      <x:alignment vertical="center" wrapText="1"/>
    </x:xf>
    <x:xf numFmtId="202" fontId="0" fillId="0" borderId="10" xfId="0" applyNumberFormat="1" applyFont="1" applyFill="1" applyBorder="1" applyAlignment="1">
      <x:alignment vertical="center" wrapText="1"/>
    </x:xf>
    <x:xf numFmtId="202" fontId="0" fillId="0" borderId="11" xfId="0" applyNumberFormat="1" applyFont="1" applyFill="1" applyBorder="1" applyAlignment="1">
      <x:alignment vertical="center" wrapText="1"/>
    </x:xf>
    <x:xf numFmtId="202" fontId="0" fillId="0" borderId="9" xfId="0" applyNumberFormat="1" applyFont="1" applyFill="1" applyBorder="1" applyAlignment="1">
      <x:alignment horizontal="center" vertical="center" wrapText="1"/>
    </x:xf>
    <x:xf numFmtId="202" fontId="0" fillId="0" borderId="10" xfId="0" applyNumberFormat="1" applyFont="1" applyFill="1" applyBorder="1" applyAlignment="1">
      <x:alignment horizontal="center" vertical="center" wrapText="1"/>
    </x:xf>
    <x:xf numFmtId="202" fontId="0" fillId="0" borderId="11" xfId="0" applyNumberFormat="1" applyFont="1" applyFill="1" applyBorder="1" applyAlignment="1">
      <x:alignment horizontal="center" vertical="center" wrapText="1"/>
    </x:xf>
    <x:xf numFmtId="0" fontId="0" fillId="5" borderId="1" xfId="0" applyNumberFormat="1" applyFont="1" applyFill="1" applyBorder="1" applyAlignment="1">
      <x:alignment vertical="center" wrapText="1"/>
    </x:xf>
    <x:xf numFmtId="0" fontId="0" fillId="5" borderId="9" xfId="0" applyNumberFormat="1" applyFont="1" applyFill="1" applyBorder="1" applyAlignment="1">
      <x:alignment vertical="center" wrapText="1"/>
    </x:xf>
    <x:xf numFmtId="202" fontId="0" fillId="5" borderId="9" xfId="0" applyNumberFormat="1" applyFont="1" applyFill="1" applyBorder="1" applyAlignment="1">
      <x:alignment horizontal="center" vertical="center" wrapText="1"/>
    </x:xf>
    <x:xf numFmtId="0" fontId="0" fillId="5" borderId="2" xfId="0" applyNumberFormat="1" applyFont="1" applyFill="1" applyBorder="1" applyAlignment="1">
      <x:alignment vertical="center" wrapText="1"/>
    </x:xf>
    <x:xf numFmtId="0" fontId="0" fillId="6" borderId="3" xfId="0" applyNumberFormat="1" applyFont="1" applyFill="1" applyBorder="1" applyAlignment="1">
      <x:alignment vertical="center" wrapText="1"/>
    </x:xf>
    <x:xf numFmtId="0" fontId="0" fillId="6" borderId="10" xfId="0" applyNumberFormat="1" applyFont="1" applyFill="1" applyBorder="1" applyAlignment="1">
      <x:alignment vertical="center" wrapText="1"/>
    </x:xf>
    <x:xf numFmtId="202" fontId="0" fillId="6" borderId="10" xfId="0" applyNumberFormat="1" applyFont="1" applyFill="1" applyBorder="1" applyAlignment="1">
      <x:alignment horizontal="center" vertical="center" wrapText="1"/>
    </x:xf>
    <x:xf numFmtId="0" fontId="0" fillId="6" borderId="4" xfId="0" applyNumberFormat="1" applyFont="1" applyFill="1" applyBorder="1" applyAlignment="1">
      <x:alignment vertical="center" wrapText="1"/>
    </x:xf>
    <x:xf numFmtId="0" fontId="14" fillId="4" borderId="0" xfId="0" applyNumberFormat="1" applyFont="1" applyFill="1" applyBorder="1"/>
    <x:xf numFmtId="0" fontId="14" fillId="4" borderId="27" xfId="0" applyNumberFormat="1" applyFont="1" applyFill="1" applyBorder="1"/>
    <x:xf numFmtId="0" fontId="14" fillId="4" borderId="28" xfId="0" applyNumberFormat="1" applyFont="1" applyFill="1" applyBorder="1"/>
    <x:xf numFmtId="0" fontId="14" fillId="4" borderId="29" xfId="0" applyNumberFormat="1" applyFont="1" applyFill="1" applyBorder="1"/>
    <x:xf numFmtId="0" fontId="14" fillId="4" borderId="30" xfId="0" applyNumberFormat="1" applyFont="1" applyFill="1" applyBorder="1"/>
    <x:xf numFmtId="0" fontId="14" fillId="4" borderId="31" xfId="0" applyNumberFormat="1" applyFont="1" applyFill="1" applyBorder="1"/>
    <x:xf numFmtId="0" fontId="14" fillId="4" borderId="32" xfId="0" applyNumberFormat="1" applyFont="1" applyFill="1" applyBorder="1"/>
    <x:xf numFmtId="0" fontId="14" fillId="4" borderId="33" xfId="0" applyNumberFormat="1" applyFont="1" applyFill="1" applyBorder="1"/>
    <x:xf numFmtId="0" fontId="14" fillId="4" borderId="34" xfId="0" applyNumberFormat="1" applyFont="1" applyFill="1" applyBorder="1"/>
    <x:xf numFmtId="0" fontId="14" fillId="4" borderId="27" xfId="0" applyNumberFormat="1" applyFont="1" applyFill="1" applyBorder="1" applyAlignment="1">
      <x:alignment wrapText="1"/>
    </x:xf>
    <x:xf numFmtId="0" fontId="14" fillId="4" borderId="28" xfId="0" applyNumberFormat="1" applyFont="1" applyFill="1" applyBorder="1" applyAlignment="1">
      <x:alignment wrapText="1"/>
    </x:xf>
    <x:xf numFmtId="0" fontId="14" fillId="4" borderId="29" xfId="0" applyNumberFormat="1" applyFont="1" applyFill="1" applyBorder="1" applyAlignment="1">
      <x:alignment wrapText="1"/>
    </x:xf>
    <x:xf numFmtId="0" fontId="14" fillId="4" borderId="30" xfId="0" applyNumberFormat="1" applyFont="1" applyFill="1" applyBorder="1" applyAlignment="1">
      <x:alignment wrapText="1"/>
    </x:xf>
    <x:xf numFmtId="0" fontId="14" fillId="4" borderId="0" xfId="0" applyNumberFormat="1" applyFont="1" applyFill="1" applyBorder="1" applyAlignment="1">
      <x:alignment wrapText="1"/>
    </x:xf>
    <x:xf numFmtId="0" fontId="14" fillId="4" borderId="31" xfId="0" applyNumberFormat="1" applyFont="1" applyFill="1" applyBorder="1" applyAlignment="1">
      <x:alignment wrapText="1"/>
    </x:xf>
    <x:xf numFmtId="0" fontId="14" fillId="4" borderId="32" xfId="0" applyNumberFormat="1" applyFont="1" applyFill="1" applyBorder="1" applyAlignment="1">
      <x:alignment wrapText="1"/>
    </x:xf>
    <x:xf numFmtId="0" fontId="14" fillId="4" borderId="33" xfId="0" applyNumberFormat="1" applyFont="1" applyFill="1" applyBorder="1" applyAlignment="1">
      <x:alignment wrapText="1"/>
    </x:xf>
    <x:xf numFmtId="0" fontId="14" fillId="4" borderId="34" xfId="0" applyNumberFormat="1" applyFont="1" applyFill="1" applyBorder="1" applyAlignment="1">
      <x:alignment wrapText="1"/>
    </x:xf>
    <x:xf numFmtId="0" fontId="14" fillId="4" borderId="27" xfId="0" applyNumberFormat="1" applyFont="1" applyFill="1" applyBorder="1" applyAlignment="1">
      <x:alignment vertical="center" wrapText="1"/>
    </x:xf>
    <x:xf numFmtId="0" fontId="14" fillId="4" borderId="28" xfId="0" applyNumberFormat="1" applyFont="1" applyFill="1" applyBorder="1" applyAlignment="1">
      <x:alignment vertical="center" wrapText="1"/>
    </x:xf>
    <x:xf numFmtId="0" fontId="14" fillId="4" borderId="29" xfId="0" applyNumberFormat="1" applyFont="1" applyFill="1" applyBorder="1" applyAlignment="1">
      <x:alignment vertical="center" wrapText="1"/>
    </x:xf>
    <x:xf numFmtId="0" fontId="14" fillId="4" borderId="30" xfId="0" applyNumberFormat="1" applyFont="1" applyFill="1" applyBorder="1" applyAlignment="1">
      <x:alignment vertical="center" wrapText="1"/>
    </x:xf>
    <x:xf numFmtId="0" fontId="14" fillId="4" borderId="0" xfId="0" applyNumberFormat="1" applyFont="1" applyFill="1" applyBorder="1" applyAlignment="1">
      <x:alignment vertical="center" wrapText="1"/>
    </x:xf>
    <x:xf numFmtId="0" fontId="14" fillId="4" borderId="31" xfId="0" applyNumberFormat="1" applyFont="1" applyFill="1" applyBorder="1" applyAlignment="1">
      <x:alignment vertical="center" wrapText="1"/>
    </x:xf>
    <x:xf numFmtId="0" fontId="14" fillId="4" borderId="32" xfId="0" applyNumberFormat="1" applyFont="1" applyFill="1" applyBorder="1" applyAlignment="1">
      <x:alignment vertical="center" wrapText="1"/>
    </x:xf>
    <x:xf numFmtId="0" fontId="14" fillId="4" borderId="33" xfId="0" applyNumberFormat="1" applyFont="1" applyFill="1" applyBorder="1" applyAlignment="1">
      <x:alignment vertical="center" wrapText="1"/>
    </x:xf>
    <x:xf numFmtId="0" fontId="14" fillId="4" borderId="34" xfId="0" applyNumberFormat="1" applyFont="1" applyFill="1" applyBorder="1" applyAlignment="1">
      <x:alignment vertical="center" wrapText="1"/>
    </x:xf>
    <x:xf numFmtId="0" fontId="15" fillId="0" borderId="0" xfId="0" applyNumberFormat="1" applyFont="1" applyFill="1" applyBorder="1"/>
    <x:xf numFmtId="202" fontId="15" fillId="0"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16" fillId="7" borderId="0" xfId="0" applyNumberFormat="1" applyFont="1" applyFill="1" applyBorder="1"/>
    <x:xf numFmtId="0" fontId="16" fillId="7" borderId="0" xfId="0" applyNumberFormat="1" applyFont="1" applyFill="1" applyBorder="1" applyAlignment="1">
      <x:alignment wrapText="1"/>
    </x:xf>
    <x:xf numFmtId="0" fontId="16" fillId="7" borderId="0" xfId="0" applyNumberFormat="1" applyFont="1" applyFill="1" applyBorder="1" applyAlignment="1">
      <x:alignment vertical="center" wrapText="1"/>
    </x:xf>
  </x:cellXfs>
  <x:cellStyles count="1">
    <x:cellStyle name="Normal" xfId="0"/>
  </x:cellStyles>
  <x:dxfs count="3">
    <x:dxf>
      <x:font>
        <x:b/>
        <x:color rgb="FF1E6B3D"/>
      </x:font>
      <x:fill>
        <x:patternFill patternType="solid">
          <x:bgColor rgb="FFDFF3E4"/>
        </x:patternFill>
      </x:fill>
    </x:dxf>
    <x:dxf>
      <x:font>
        <x:b/>
        <x:color rgb="FF7A5200"/>
      </x:font>
      <x:fill>
        <x:patternFill patternType="solid">
          <x:bgColor rgb="FFFFF1CC"/>
        </x:patternFill>
      </x:fill>
    </x:dxf>
    <x:dxf>
      <x:font>
        <x:b/>
        <x:color rgb="FFA12A22"/>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08ff6e00b34ef8" /><Relationship Type="http://schemas.openxmlformats.org/officeDocument/2006/relationships/theme" Target="/xl/theme/theme1.xml" Id="Rf096d66098904561" /><Relationship Type="http://schemas.openxmlformats.org/officeDocument/2006/relationships/sharedStrings" Target="/xl/sharedStrings.xml" Id="R1e31c26f38a347be" /><Relationship Type="http://schemas.openxmlformats.org/officeDocument/2006/relationships/worksheet" Target="/xl/worksheets/sheet1.xml" Id="R153d4fe0c7994e8b" /><Relationship Type="http://schemas.openxmlformats.org/officeDocument/2006/relationships/worksheet" Target="/xl/worksheets/sheet2.xml" Id="Re82a39bf732949c3" /><Relationship Type="http://schemas.openxmlformats.org/officeDocument/2006/relationships/worksheet" Target="/xl/worksheets/sheet3.xml" Id="R6ef7a762fd0e4b58" /><Relationship Type="http://schemas.openxmlformats.org/officeDocument/2006/relationships/worksheet" Target="/xl/worksheets/sheet4.xml" Id="Ref1b848a61794166" /><Relationship Type="http://schemas.openxmlformats.org/officeDocument/2006/relationships/worksheet" Target="/xl/worksheets/sheet5.xml" Id="R90607c641a794a1a" /><Relationship Type="http://schemas.openxmlformats.org/officeDocument/2006/relationships/worksheet" Target="/xl/worksheets/sheet6.xml" Id="Rddc1b832d2d94bf9" /></Relationships>
</file>

<file path=xl/drawings/_rels/drawing1.xml.rels>&#65279;<?xml version="1.0" encoding="utf-8"?><Relationships xmlns="http://schemas.openxmlformats.org/package/2006/relationships"><Relationship Type="http://schemas.openxmlformats.org/officeDocument/2006/relationships/chart" Target="/xl/drawings/charts/chart1.xml" Id="Ref3a3833e9be449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Capability score (not clinical accuracy)</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Capability score</c:v>
          </c:tx>
          <c:cat>
            <c:strRef>
              <c:f>'Executive Summary'!$A$26:$A$40</c:f>
              <c:strCache>
                <c:ptCount val="0"/>
              </c:strCache>
            </c:strRef>
          </c:cat>
          <c:val>
            <c:numRef>
              <c:f>'Executive Summary'!$B$26:$B$40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max val="10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24</xdr:row>
      <xdr:rowOff>0</xdr:rowOff>
    </xdr:from>
    <xdr:to>
      <xdr:col>12</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3a3833e9be449e"/>
        </a:graphicData>
      </a:graphic>
    </xdr:graphicFrame>
    <xdr:clientData/>
  </xdr:twoCellAnchor>
</xdr:wsDr>
</file>

<file path=xl/tables/table1.xml><?xml version="1.0" encoding="utf-8"?>
<x:table xmlns:x="http://schemas.openxmlformats.org/spreadsheetml/2006/main" id="1" name="DeviceFeatureMatrix" displayName="DeviceFeatureMatrix" ref="A1:AD16" headerRowCount="1" totalsRowCount="0" totalsRowShown="0">
  <x:tableColumns count="30">
    <x:tableColumn id="1" name="evaluation_order"/>
    <x:tableColumn id="2" name="device"/>
    <x:tableColumn id="3" name="company_origin"/>
    <x:tableColumn id="4" name="form_factor_segment"/>
    <x:tableColumn id="5" name="hr"/>
    <x:tableColumn id="6" name="ibi_hrv"/>
    <x:tableColumn id="7" name="raw_ppg_bvp"/>
    <x:tableColumn id="8" name="ecg"/>
    <x:tableColumn id="9" name="bp_actual"/>
    <x:tableColumn id="10" name="bp_continuous"/>
    <x:tableColumn id="11" name="spo2"/>
    <x:tableColumn id="12" name="skin_temperature"/>
    <x:tableColumn id="13" name="eda"/>
    <x:tableColumn id="14" name="respiration"/>
    <x:tableColumn id="15" name="motion"/>
    <x:tableColumn id="16" name="background_recording"/>
    <x:tableColumn id="17" name="live_programmatic"/>
    <x:tableColumn id="18" name="raw_waveform_export"/>
    <x:tableColumn id="19" name="api_sdk"/>
    <x:tableColumn id="20" name="manual_export"/>
    <x:tableColumn id="21" name="battery_days_nominal"/>
    <x:tableColumn id="22" name="access_mode"/>
    <x:tableColumn id="23" name="key_limit"/>
    <x:tableColumn id="24" name="source_ids"/>
    <x:tableColumn id="25" name="Acute sensing score"/>
    <x:tableColumn id="26" name="Data access score"/>
    <x:tableColumn id="27" name="Capability score"/>
    <x:tableColumn id="28" name="Delta vs Apple"/>
    <x:tableColumn id="29" name="Score band"/>
    <x:tableColumn id="30" name="Recommended action"/>
  </x:tableColumns>
  <x:tableStyleInfo name="TableStyleMedium2" showFirstColumn="0" showLastColumn="0" showRowStripes="1" showColumnStripes="0"/>
</x:table>
</file>

<file path=xl/tables/table2.xml><?xml version="1.0" encoding="utf-8"?>
<x:table xmlns:x="http://schemas.openxmlformats.org/spreadsheetml/2006/main" id="2" name="DataAccessTable" displayName="DataAccessTable" ref="A5:G20" headerRowCount="1" totalsRowCount="0" totalsRowShown="0">
  <x:tableColumns count="7">
    <x:tableColumn id="1" name="Device"/>
    <x:tableColumn id="2" name="Programmatic live path"/>
    <x:tableColumn id="3" name="Raw export"/>
    <x:tableColumn id="4" name="Manual export"/>
    <x:tableColumn id="5" name="Typical data shape"/>
    <x:tableColumn id="6" name="Primary gate"/>
    <x:tableColumn id="7" name="Vitestro role"/>
  </x:tableColumns>
  <x:tableStyleInfo name="TableStyleMedium2" showFirstColumn="0" showLastColumn="0" showRowStripes="1" showColumnStripes="0"/>
</x:table>
</file>

<file path=xl/tables/table3.xml><?xml version="1.0" encoding="utf-8"?>
<x:table xmlns:x="http://schemas.openxmlformats.org/spreadsheetml/2006/main" id="3" name="ProtocolGateTable" displayName="ProtocolGateTable" ref="A5:F14" headerRowCount="1" totalsRowCount="0" totalsRowShown="0">
  <x:tableColumns count="6">
    <x:tableColumn id="1" name="Gate"/>
    <x:tableColumn id="2" name="Objective"/>
    <x:tableColumn id="3" name="Required test"/>
    <x:tableColumn id="4" name="Required output"/>
    <x:tableColumn id="5" name="Decision rule"/>
    <x:tableColumn id="6" name="Failure disposition"/>
  </x:tableColumns>
  <x:tableStyleInfo name="TableStyleMedium2" showFirstColumn="0" showLastColumn="0" showRowStripes="1" showColumnStripes="0"/>
</x:table>
</file>

<file path=xl/tables/table4.xml><?xml version="1.0" encoding="utf-8"?>
<x:table xmlns:x="http://schemas.openxmlformats.org/spreadsheetml/2006/main" id="4" name="EvidenceRegistryTable" displayName="EvidenceRegistryTable" ref="A1:J74" headerRowCount="1" totalsRowCount="0" totalsRowShown="0">
  <x:tableColumns count="10">
    <x:tableColumn id="1" name="source_id"/>
    <x:tableColumn id="2" name="category"/>
    <x:tableColumn id="3" name="entity"/>
    <x:tableColumn id="4" name="claim_supported"/>
    <x:tableColumn id="5" name="source_type"/>
    <x:tableColumn id="6" name="url"/>
    <x:tableColumn id="7" name="published_or_updated"/>
    <x:tableColumn id="8" name="accessed_at"/>
    <x:tableColumn id="9" name="confidence"/>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0abf5eb3bc24b5b" /></Relationships>
</file>

<file path=xl/worksheets/_rels/sheet2.xml.rels>&#65279;<?xml version="1.0" encoding="utf-8"?><Relationships xmlns="http://schemas.openxmlformats.org/package/2006/relationships"><Relationship Type="http://schemas.openxmlformats.org/officeDocument/2006/relationships/table" Target="/xl/tables/table1.xml" Id="Rb14e2aa4b30d408b" /></Relationships>
</file>

<file path=xl/worksheets/_rels/sheet3.xml.rels>&#65279;<?xml version="1.0" encoding="utf-8"?><Relationships xmlns="http://schemas.openxmlformats.org/package/2006/relationships"><Relationship Type="http://schemas.openxmlformats.org/officeDocument/2006/relationships/table" Target="/xl/tables/table2.xml" Id="R7c18d402f183486a" /></Relationships>
</file>

<file path=xl/worksheets/_rels/sheet4.xml.rels>&#65279;<?xml version="1.0" encoding="utf-8"?><Relationships xmlns="http://schemas.openxmlformats.org/package/2006/relationships"><Relationship Type="http://schemas.openxmlformats.org/officeDocument/2006/relationships/table" Target="/xl/tables/table3.xml" Id="Rda8bd6225a6e4041" /></Relationships>
</file>

<file path=xl/worksheets/_rels/sheet6.xml.rels>&#65279;<?xml version="1.0" encoding="utf-8"?><Relationships xmlns="http://schemas.openxmlformats.org/package/2006/relationships"><Relationship Type="http://schemas.openxmlformats.org/officeDocument/2006/relationships/table" Target="/xl/tables/table4.xml" Id="Ra99d70a493754b82"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4" hidden="0" customWidth="1"/>
    <x:col min="3" max="3" width="14" hidden="0" customWidth="1"/>
    <x:col min="4" max="4" width="22" hidden="0" customWidth="1"/>
    <x:col min="5" max="5" width="4"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x:c r="A1" s="86" t="str">
        <x:v>Vitestro Wearable Device Evaluation</x:v>
      </x:c>
      <x:c r="B1" s="86"/>
      <x:c r="C1" s="86"/>
      <x:c r="D1" s="86"/>
      <x:c r="E1" s="86"/>
      <x:c r="F1" s="86"/>
      <x:c r="G1" s="86"/>
      <x:c r="H1" s="86"/>
      <x:c r="I1" s="86"/>
      <x:c r="J1" s="86"/>
      <x:c r="K1" s="86"/>
      <x:c r="L1" s="86"/>
    </x:row>
    <x:row r="2">
      <x:c r="A2" s="86"/>
      <x:c r="B2" s="86"/>
      <x:c r="C2" s="86"/>
      <x:c r="D2" s="86"/>
      <x:c r="E2" s="86"/>
      <x:c r="F2" s="86"/>
      <x:c r="G2" s="86"/>
      <x:c r="H2" s="86"/>
      <x:c r="I2" s="86"/>
      <x:c r="J2" s="86"/>
      <x:c r="K2" s="86"/>
      <x:c r="L2" s="86"/>
    </x:row>
    <x:row r="3">
      <x:c r="A3" s="88" t="str">
        <x:v>Mayo–Vitestro presyncope sensing | US-first device pool | Evidence reviewed 2026-07-23</x:v>
      </x:c>
      <x:c r="B3" s="88"/>
      <x:c r="C3" s="88"/>
      <x:c r="D3" s="88"/>
      <x:c r="E3" s="88"/>
      <x:c r="F3" s="88"/>
      <x:c r="G3" s="88"/>
      <x:c r="H3" s="88"/>
      <x:c r="I3" s="88"/>
      <x:c r="J3" s="88"/>
      <x:c r="K3" s="88"/>
      <x:c r="L3" s="88"/>
    </x:row>
    <x:row r="5">
      <x:c r="A5" s="92" t="str">
        <x:v>Devices assessed</x:v>
      </x:c>
      <x:c r="B5" s="92"/>
      <x:c r="C5" s="92"/>
      <x:c r="D5" s="92" t="str">
        <x:v>US / US-HQ products</x:v>
      </x:c>
      <x:c r="E5" s="92"/>
      <x:c r="F5" s="92"/>
      <x:c r="G5" s="92" t="str">
        <x:v>US bench-now devices</x:v>
      </x:c>
      <x:c r="H5" s="92"/>
      <x:c r="I5" s="92"/>
      <x:c r="J5" s="92" t="str">
        <x:v>Clinical-ready today</x:v>
      </x:c>
      <x:c r="K5" s="92"/>
      <x:c r="L5" s="92"/>
    </x:row>
    <x:row r="6">
      <x:c r="A6" s="112" t="str">
        <x:v>15</x:v>
      </x:c>
      <x:c r="B6" s="113"/>
      <x:c r="C6" s="114"/>
      <x:c r="D6" s="112" t="str">
        <x:v>11</x:v>
      </x:c>
      <x:c r="E6" s="113"/>
      <x:c r="F6" s="114"/>
      <x:c r="G6" s="112" t="str">
        <x:v>4</x:v>
      </x:c>
      <x:c r="H6" s="113"/>
      <x:c r="I6" s="114"/>
      <x:c r="J6" s="112" t="str">
        <x:v>0</x:v>
      </x:c>
      <x:c r="K6" s="113"/>
      <x:c r="L6" s="114"/>
    </x:row>
    <x:row r="7">
      <x:c r="A7" s="115"/>
      <x:c r="B7" s="116"/>
      <x:c r="C7" s="117"/>
      <x:c r="D7" s="115"/>
      <x:c r="E7" s="116"/>
      <x:c r="F7" s="117"/>
      <x:c r="G7" s="115"/>
      <x:c r="H7" s="116"/>
      <x:c r="I7" s="117"/>
      <x:c r="J7" s="115"/>
      <x:c r="K7" s="116"/>
      <x:c r="L7" s="117"/>
    </x:row>
    <x:row r="8">
      <x:c r="A8" s="118"/>
      <x:c r="B8" s="119"/>
      <x:c r="C8" s="120"/>
      <x:c r="D8" s="118"/>
      <x:c r="E8" s="119"/>
      <x:c r="F8" s="120"/>
      <x:c r="G8" s="118"/>
      <x:c r="H8" s="119"/>
      <x:c r="I8" s="120"/>
      <x:c r="J8" s="118"/>
      <x:c r="K8" s="119"/>
      <x:c r="L8" s="120"/>
    </x:row>
    <x:row r="10">
      <x:c r="A10" s="121" t="str">
        <x:v>Decision</x:v>
      </x:c>
      <x:c r="B10" s="121"/>
      <x:c r="C10" s="121"/>
      <x:c r="D10" s="121"/>
      <x:c r="E10" s="121"/>
      <x:c r="F10" s="121"/>
      <x:c r="G10" s="121"/>
      <x:c r="H10" s="121"/>
      <x:c r="I10" s="121"/>
      <x:c r="J10" s="121"/>
      <x:c r="K10" s="121"/>
      <x:c r="L10" s="121"/>
    </x:row>
    <x:row r="11">
      <x:c r="A11" s="138" t="str">
        <x:v>Use a US-first bench set: Apple Watch Series 11, ActiGraph LEAP, Biostrap Kairos, and VitalConnect VitalPatch RTM. Add one Samsung Galaxy Watch8 to reproduce the strongest direct smartwatch-VVS paper and add Empatica EmbracePlus only if raw EDA remains in scope. Treat Corsano as BP diligence, not truth. No reviewed device is authorized for patient alerts or robot control.</x:v>
      </x:c>
      <x:c r="B11" s="139"/>
      <x:c r="C11" s="139"/>
      <x:c r="D11" s="139"/>
      <x:c r="E11" s="139"/>
      <x:c r="F11" s="139"/>
      <x:c r="G11" s="139"/>
      <x:c r="H11" s="139"/>
      <x:c r="I11" s="139"/>
      <x:c r="J11" s="139"/>
      <x:c r="K11" s="139"/>
      <x:c r="L11" s="140"/>
    </x:row>
    <x:row r="12">
      <x:c r="A12" s="141"/>
      <x:c r="B12" s="142"/>
      <x:c r="C12" s="142"/>
      <x:c r="D12" s="142"/>
      <x:c r="E12" s="142"/>
      <x:c r="F12" s="142"/>
      <x:c r="G12" s="142"/>
      <x:c r="H12" s="142"/>
      <x:c r="I12" s="142"/>
      <x:c r="J12" s="142"/>
      <x:c r="K12" s="142"/>
      <x:c r="L12" s="143"/>
    </x:row>
    <x:row r="13">
      <x:c r="A13" s="141"/>
      <x:c r="B13" s="142"/>
      <x:c r="C13" s="142"/>
      <x:c r="D13" s="142"/>
      <x:c r="E13" s="142"/>
      <x:c r="F13" s="142"/>
      <x:c r="G13" s="142"/>
      <x:c r="H13" s="142"/>
      <x:c r="I13" s="142"/>
      <x:c r="J13" s="142"/>
      <x:c r="K13" s="142"/>
      <x:c r="L13" s="143"/>
    </x:row>
    <x:row r="14">
      <x:c r="A14" s="144"/>
      <x:c r="B14" s="145"/>
      <x:c r="C14" s="145"/>
      <x:c r="D14" s="145"/>
      <x:c r="E14" s="145"/>
      <x:c r="F14" s="145"/>
      <x:c r="G14" s="145"/>
      <x:c r="H14" s="145"/>
      <x:c r="I14" s="145"/>
      <x:c r="J14" s="145"/>
      <x:c r="K14" s="145"/>
      <x:c r="L14" s="146"/>
    </x:row>
    <x:row r="16">
      <x:c r="A16" s="147" t="str">
        <x:v>Device</x:v>
      </x:c>
      <x:c r="B16" s="147" t="str">
        <x:v>Role</x:v>
      </x:c>
      <x:c r="C16" s="147" t="str">
        <x:v>Capability score</x:v>
      </x:c>
      <x:c r="D16" s="147" t="str">
        <x:v>Action</x:v>
      </x:c>
      <x:c r="F16" s="5" t="str">
        <x:v>Why Apple is not the algorithm winner</x:v>
      </x:c>
      <x:c r="G16" s="5"/>
      <x:c r="H16" s="5"/>
      <x:c r="I16" s="5"/>
      <x:c r="J16" s="5"/>
      <x:c r="K16" s="5"/>
      <x:c r="L16" s="5"/>
    </x:row>
    <x:row r="17" ht="38" customHeight="1">
      <x:c r="A17" s="175" t="str">
        <x:v>Apple Watch Series 11</x:v>
      </x:c>
      <x:c r="B17" s="176" t="str">
        <x:v>Ecosystem baseline</x:v>
      </x:c>
      <x:c r="C17" s="177" t="n">
        <x:f>'Feature Matrix'!AA2</x:f>
        <x:v>44</x:v>
      </x:c>
      <x:c r="D17" s="178" t="str">
        <x:v>Bench now</x:v>
      </x:c>
      <x:c r="F17" s="201" t="str">
        <x:v>Apple provides a strong user experience, live processed HR/motion in a watchOS session, saved ECG voltage, HealthKit, and XML export. It does not expose continuous raw PPG, EDA, or actual blood pressure. Hypertension notifications analyze long-term patterns and cannot represent rapid presyncope hypotension.</x:v>
      </x:c>
      <x:c r="G17" s="202"/>
      <x:c r="H17" s="202"/>
      <x:c r="I17" s="202"/>
      <x:c r="J17" s="202"/>
      <x:c r="K17" s="202"/>
      <x:c r="L17" s="203"/>
    </x:row>
    <x:row r="18" ht="38" customHeight="1">
      <x:c r="A18" s="179" t="str">
        <x:v>ActiGraph LEAP</x:v>
      </x:c>
      <x:c r="B18" s="180" t="str">
        <x:v>Primary US wrist research</x:v>
      </x:c>
      <x:c r="C18" s="181" t="n">
        <x:f>'Feature Matrix'!AA3</x:f>
        <x:v>64</x:v>
      </x:c>
      <x:c r="D18" s="182" t="str">
        <x:v>Bench now</x:v>
      </x:c>
      <x:c r="F18" s="204"/>
      <x:c r="G18" s="205"/>
      <x:c r="H18" s="205"/>
      <x:c r="I18" s="205"/>
      <x:c r="J18" s="205"/>
      <x:c r="K18" s="205"/>
      <x:c r="L18" s="206"/>
    </x:row>
    <x:row r="19" ht="38" customHeight="1">
      <x:c r="A19" s="179" t="str">
        <x:v>Biostrap Kairos</x:v>
      </x:c>
      <x:c r="B19" s="180" t="str">
        <x:v>Independent US raw-PPG/IBI</x:v>
      </x:c>
      <x:c r="C19" s="181" t="n">
        <x:f>'Feature Matrix'!AA4</x:f>
        <x:v>59.5</x:v>
      </x:c>
      <x:c r="D19" s="182" t="str">
        <x:v>Bench now</x:v>
      </x:c>
      <x:c r="F19" s="204"/>
      <x:c r="G19" s="205"/>
      <x:c r="H19" s="205"/>
      <x:c r="I19" s="205"/>
      <x:c r="J19" s="205"/>
      <x:c r="K19" s="205"/>
      <x:c r="L19" s="206"/>
    </x:row>
    <x:row r="20" ht="38" customHeight="1">
      <x:c r="A20" s="179" t="str">
        <x:v>VitalConnect VitalPatch RTM</x:v>
      </x:c>
      <x:c r="B20" s="180" t="str">
        <x:v>Clinical ECG/R-R reference</x:v>
      </x:c>
      <x:c r="C20" s="181" t="n">
        <x:f>'Feature Matrix'!AA5</x:f>
        <x:v>60</x:v>
      </x:c>
      <x:c r="D20" s="182" t="str">
        <x:v>Bench now</x:v>
      </x:c>
      <x:c r="F20" s="204"/>
      <x:c r="G20" s="205"/>
      <x:c r="H20" s="205"/>
      <x:c r="I20" s="205"/>
      <x:c r="J20" s="205"/>
      <x:c r="K20" s="205"/>
      <x:c r="L20" s="206"/>
    </x:row>
    <x:row r="21" ht="38" customHeight="1">
      <x:c r="A21" s="163" t="str">
        <x:v>Samsung Galaxy Watch8</x:v>
      </x:c>
      <x:c r="B21" s="164" t="str">
        <x:v>Direct-evidence control</x:v>
      </x:c>
      <x:c r="C21" s="173" t="n">
        <x:f>'Feature Matrix'!AA13</x:f>
        <x:v>75</x:v>
      </x:c>
      <x:c r="D21" s="165" t="str">
        <x:v>Control unit</x:v>
      </x:c>
      <x:c r="F21" s="204"/>
      <x:c r="G21" s="205"/>
      <x:c r="H21" s="205"/>
      <x:c r="I21" s="205"/>
      <x:c r="J21" s="205"/>
      <x:c r="K21" s="205"/>
      <x:c r="L21" s="206"/>
    </x:row>
    <x:row r="22" ht="38" customHeight="1">
      <x:c r="A22" s="163" t="str">
        <x:v>Empatica EmbracePlus</x:v>
      </x:c>
      <x:c r="B22" s="164" t="str">
        <x:v>Raw EDA/BVP control</x:v>
      </x:c>
      <x:c r="C22" s="173" t="n">
        <x:f>'Feature Matrix'!AA14</x:f>
        <x:v>68.5</x:v>
      </x:c>
      <x:c r="D22" s="165" t="str">
        <x:v>Conditional</x:v>
      </x:c>
      <x:c r="F22" s="204"/>
      <x:c r="G22" s="205"/>
      <x:c r="H22" s="205"/>
      <x:c r="I22" s="205"/>
      <x:c r="J22" s="205"/>
      <x:c r="K22" s="205"/>
      <x:c r="L22" s="206"/>
    </x:row>
    <x:row r="23" ht="38" customHeight="1">
      <x:c r="A23" s="166" t="str">
        <x:v>Corsano CardioWatch 287-2</x:v>
      </x:c>
      <x:c r="B23" s="167" t="str">
        <x:v>Cuffless-BP diligence</x:v>
      </x:c>
      <x:c r="C23" s="174" t="n">
        <x:f>'Feature Matrix'!AA15</x:f>
        <x:v>98.5</x:v>
      </x:c>
      <x:c r="D23" s="168" t="str">
        <x:v>Vendor diligence</x:v>
      </x:c>
      <x:c r="F23" s="207"/>
      <x:c r="G23" s="208"/>
      <x:c r="H23" s="208"/>
      <x:c r="I23" s="208"/>
      <x:c r="J23" s="208"/>
      <x:c r="K23" s="208"/>
      <x:c r="L23" s="209"/>
    </x:row>
    <x:row r="25">
      <x:c r="A25" s="210" t="str">
        <x:v>Device</x:v>
      </x:c>
      <x:c r="B25" s="210" t="str">
        <x:v>Capability score</x:v>
      </x:c>
    </x:row>
    <x:row r="26">
      <x:c r="A26" s="210" t="str">
        <x:f>'Feature Matrix'!B2</x:f>
        <x:v>Apple Watch Series 11</x:v>
      </x:c>
      <x:c r="B26" s="211" t="n">
        <x:f>'Feature Matrix'!AA2</x:f>
        <x:v>44</x:v>
      </x:c>
    </x:row>
    <x:row r="27">
      <x:c r="A27" s="210" t="str">
        <x:f>'Feature Matrix'!B3</x:f>
        <x:v>ActiGraph LEAP</x:v>
      </x:c>
      <x:c r="B27" s="211" t="n">
        <x:f>'Feature Matrix'!AA3</x:f>
        <x:v>64</x:v>
      </x:c>
    </x:row>
    <x:row r="28">
      <x:c r="A28" s="210" t="str">
        <x:f>'Feature Matrix'!B4</x:f>
        <x:v>Biostrap Kairos</x:v>
      </x:c>
      <x:c r="B28" s="211" t="n">
        <x:f>'Feature Matrix'!AA4</x:f>
        <x:v>59.5</x:v>
      </x:c>
    </x:row>
    <x:row r="29">
      <x:c r="A29" s="210" t="str">
        <x:f>'Feature Matrix'!B5</x:f>
        <x:v>VitalConnect VitalPatch RTM</x:v>
      </x:c>
      <x:c r="B29" s="211" t="n">
        <x:f>'Feature Matrix'!AA5</x:f>
        <x:v>60</x:v>
      </x:c>
    </x:row>
    <x:row r="30">
      <x:c r="A30" s="210" t="str">
        <x:f>'Feature Matrix'!B6</x:f>
        <x:v>Google Pixel Watch 4</x:v>
      </x:c>
      <x:c r="B30" s="211" t="n">
        <x:f>'Feature Matrix'!AA6</x:f>
        <x:v>47</x:v>
      </x:c>
    </x:row>
    <x:row r="31">
      <x:c r="A31" s="210" t="str">
        <x:f>'Feature Matrix'!B7</x:f>
        <x:v>Fitbit Sense 2</x:v>
      </x:c>
      <x:c r="B31" s="211" t="n">
        <x:f>'Feature Matrix'!AA7</x:f>
        <x:v>37.5</x:v>
      </x:c>
    </x:row>
    <x:row r="32">
      <x:c r="A32" s="210" t="str">
        <x:f>'Feature Matrix'!B8</x:f>
        <x:v>Garmin Venu 4</x:v>
      </x:c>
      <x:c r="B32" s="211" t="n">
        <x:f>'Feature Matrix'!AA8</x:f>
        <x:v>46.5</x:v>
      </x:c>
    </x:row>
    <x:row r="33">
      <x:c r="A33" s="210" t="str">
        <x:f>'Feature Matrix'!B9</x:f>
        <x:v>WHOOP MG</x:v>
      </x:c>
      <x:c r="B33" s="211" t="n">
        <x:f>'Feature Matrix'!AA9</x:f>
        <x:v>36.5</x:v>
      </x:c>
    </x:row>
    <x:row r="34">
      <x:c r="A34" s="210" t="str">
        <x:f>'Feature Matrix'!B10</x:f>
        <x:v>BioIntelliSense BioButton Rechargeable</x:v>
      </x:c>
      <x:c r="B34" s="211" t="n">
        <x:f>'Feature Matrix'!AA10</x:f>
        <x:v>31</x:v>
      </x:c>
    </x:row>
    <x:row r="35">
      <x:c r="A35" s="210" t="str">
        <x:f>'Feature Matrix'!B11</x:f>
        <x:v>Masimo W1 Medical</x:v>
      </x:c>
      <x:c r="B35" s="211" t="n">
        <x:f>'Feature Matrix'!AA11</x:f>
        <x:v>34</x:v>
      </x:c>
    </x:row>
    <x:row r="36">
      <x:c r="A36" s="210" t="str">
        <x:f>'Feature Matrix'!B12</x:f>
        <x:v>iRhythm Zio AT</x:v>
      </x:c>
      <x:c r="B36" s="211" t="n">
        <x:f>'Feature Matrix'!AA12</x:f>
        <x:v>37.5</x:v>
      </x:c>
    </x:row>
    <x:row r="37">
      <x:c r="A37" s="210" t="str">
        <x:f>'Feature Matrix'!B13</x:f>
        <x:v>Samsung Galaxy Watch8</x:v>
      </x:c>
      <x:c r="B37" s="211" t="n">
        <x:f>'Feature Matrix'!AA13</x:f>
        <x:v>75</x:v>
      </x:c>
    </x:row>
    <x:row r="38">
      <x:c r="A38" s="210" t="str">
        <x:f>'Feature Matrix'!B14</x:f>
        <x:v>Empatica EmbracePlus</x:v>
      </x:c>
      <x:c r="B38" s="211" t="n">
        <x:f>'Feature Matrix'!AA14</x:f>
        <x:v>68.5</x:v>
      </x:c>
    </x:row>
    <x:row r="39">
      <x:c r="A39" s="210" t="str">
        <x:f>'Feature Matrix'!B15</x:f>
        <x:v>Corsano CardioWatch 287-2</x:v>
      </x:c>
      <x:c r="B39" s="211" t="n">
        <x:f>'Feature Matrix'!AA15</x:f>
        <x:v>98.5</x:v>
      </x:c>
    </x:row>
    <x:row r="40">
      <x:c r="A40" s="210" t="str">
        <x:f>'Feature Matrix'!B16</x:f>
        <x:v>Huawei Watch D2</x:v>
      </x:c>
      <x:c r="B40" s="211" t="n">
        <x:f>'Feature Matrix'!AA16</x:f>
        <x:v>44.5</x:v>
      </x:c>
    </x:row>
    <x:row r="45">
      <x:c r="A45" s="213" t="str">
        <x:v>Critical boundary</x:v>
      </x:c>
      <x:c r="B45" s="213"/>
      <x:c r="C45" s="213"/>
      <x:c r="D45" s="213"/>
      <x:c r="E45" s="213"/>
      <x:c r="F45" s="213"/>
      <x:c r="G45" s="213"/>
      <x:c r="H45" s="213"/>
      <x:c r="I45" s="213"/>
      <x:c r="J45" s="213"/>
      <x:c r="K45" s="213"/>
      <x:c r="L45" s="213"/>
    </x:row>
    <x:row r="46">
      <x:c r="A46" s="216" t="str">
        <x:v>A check mark means a capability exists, not that it is accurate or validated for venipuncture presyncope. Fast cuffless BP must be compared with a synchronized continuous reference. Optical signals must be stratified by motion, perfusion, fit, wrist circumference, and objectively measured skin pigmentation.</x:v>
      </x:c>
      <x:c r="B46" s="216"/>
      <x:c r="C46" s="216"/>
      <x:c r="D46" s="216"/>
      <x:c r="E46" s="216"/>
      <x:c r="F46" s="216"/>
      <x:c r="G46" s="216"/>
      <x:c r="H46" s="216"/>
      <x:c r="I46" s="216"/>
      <x:c r="J46" s="216"/>
      <x:c r="K46" s="216"/>
      <x:c r="L46" s="216"/>
    </x:row>
    <x:row r="47">
      <x:c r="A47" s="216"/>
      <x:c r="B47" s="216"/>
      <x:c r="C47" s="216"/>
      <x:c r="D47" s="216"/>
      <x:c r="E47" s="216"/>
      <x:c r="F47" s="216"/>
      <x:c r="G47" s="216"/>
      <x:c r="H47" s="216"/>
      <x:c r="I47" s="216"/>
      <x:c r="J47" s="216"/>
      <x:c r="K47" s="216"/>
      <x:c r="L47" s="216"/>
    </x:row>
    <x:row r="48">
      <x:c r="A48" s="216"/>
      <x:c r="B48" s="216"/>
      <x:c r="C48" s="216"/>
      <x:c r="D48" s="216"/>
      <x:c r="E48" s="216"/>
      <x:c r="F48" s="216"/>
      <x:c r="G48" s="216"/>
      <x:c r="H48" s="216"/>
      <x:c r="I48" s="216"/>
      <x:c r="J48" s="216"/>
      <x:c r="K48" s="216"/>
      <x:c r="L48" s="216"/>
    </x:row>
    <x:row r="49">
      <x:c r="A49" s="216"/>
      <x:c r="B49" s="216"/>
      <x:c r="C49" s="216"/>
      <x:c r="D49" s="216"/>
      <x:c r="E49" s="216"/>
      <x:c r="F49" s="216"/>
      <x:c r="G49" s="216"/>
      <x:c r="H49" s="216"/>
      <x:c r="I49" s="216"/>
      <x:c r="J49" s="216"/>
      <x:c r="K49" s="216"/>
      <x:c r="L49" s="216"/>
    </x:row>
  </x:sheetData>
  <x:mergeCells>
    <x:mergeCell ref="A1:L2"/>
    <x:mergeCell ref="A3:L3"/>
    <x:mergeCell ref="A5:C5"/>
    <x:mergeCell ref="A6:C8"/>
    <x:mergeCell ref="D5:F5"/>
    <x:mergeCell ref="D6:F8"/>
    <x:mergeCell ref="G5:I5"/>
    <x:mergeCell ref="G6:I8"/>
    <x:mergeCell ref="J5:L5"/>
    <x:mergeCell ref="J6:L8"/>
    <x:mergeCell ref="A10:L10"/>
    <x:mergeCell ref="A11:L14"/>
    <x:mergeCell ref="F16:L16"/>
    <x:mergeCell ref="F17:L23"/>
    <x:mergeCell ref="A45:L45"/>
    <x:mergeCell ref="A46:L49"/>
  </x:mergeCells>
  <x:pageMargins left="0.7" right="0.7" top="0.75" bottom="0.75" header="0.3" footer="0.3"/>
  <x:drawing xmlns:r="http://schemas.openxmlformats.org/officeDocument/2006/relationships" r:id="Rd0abf5eb3bc24b5b"/>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30" hidden="0" customWidth="1"/>
    <x:col min="3" max="3" width="23" hidden="0" customWidth="1"/>
    <x:col min="4" max="4" width="2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34" hidden="0" customWidth="1"/>
    <x:col min="23" max="23" width="58" hidden="0" customWidth="1"/>
    <x:col min="24" max="24" width="30" hidden="0" customWidth="1"/>
    <x:col min="25" max="25" width="15" hidden="0" customWidth="1"/>
    <x:col min="26" max="26" width="15" hidden="0" customWidth="1"/>
    <x:col min="27" max="27" width="15" hidden="0" customWidth="1"/>
    <x:col min="28" max="28" width="15" hidden="0" customWidth="1"/>
    <x:col min="29" max="29" width="22" hidden="0" customWidth="1"/>
    <x:col min="30" max="30" width="22" hidden="0" customWidth="1"/>
  </x:cols>
  <x:sheetData>
    <x:row r="1" ht="46" customHeight="1">
      <x:c r="A1" s="25" t="str">
        <x:v>evaluation_order</x:v>
      </x:c>
      <x:c r="B1" s="25" t="str">
        <x:v>device</x:v>
      </x:c>
      <x:c r="C1" s="25" t="str">
        <x:v>company_origin</x:v>
      </x:c>
      <x:c r="D1" s="25" t="str">
        <x:v>form_factor_segment</x:v>
      </x:c>
      <x:c r="E1" s="25" t="str">
        <x:v>hr</x:v>
      </x:c>
      <x:c r="F1" s="25" t="str">
        <x:v>ibi_hrv</x:v>
      </x:c>
      <x:c r="G1" s="25" t="str">
        <x:v>raw_ppg_bvp</x:v>
      </x:c>
      <x:c r="H1" s="25" t="str">
        <x:v>ecg</x:v>
      </x:c>
      <x:c r="I1" s="25" t="str">
        <x:v>bp_actual</x:v>
      </x:c>
      <x:c r="J1" s="25" t="str">
        <x:v>bp_continuous</x:v>
      </x:c>
      <x:c r="K1" s="25" t="str">
        <x:v>spo2</x:v>
      </x:c>
      <x:c r="L1" s="25" t="str">
        <x:v>skin_temperature</x:v>
      </x:c>
      <x:c r="M1" s="25" t="str">
        <x:v>eda</x:v>
      </x:c>
      <x:c r="N1" s="25" t="str">
        <x:v>respiration</x:v>
      </x:c>
      <x:c r="O1" s="25" t="str">
        <x:v>motion</x:v>
      </x:c>
      <x:c r="P1" s="25" t="str">
        <x:v>background_recording</x:v>
      </x:c>
      <x:c r="Q1" s="25" t="str">
        <x:v>live_programmatic</x:v>
      </x:c>
      <x:c r="R1" s="25" t="str">
        <x:v>raw_waveform_export</x:v>
      </x:c>
      <x:c r="S1" s="25" t="str">
        <x:v>api_sdk</x:v>
      </x:c>
      <x:c r="T1" s="25" t="str">
        <x:v>manual_export</x:v>
      </x:c>
      <x:c r="U1" s="25" t="str">
        <x:v>battery_days_nominal</x:v>
      </x:c>
      <x:c r="V1" s="25" t="str">
        <x:v>access_mode</x:v>
      </x:c>
      <x:c r="W1" s="25" t="str">
        <x:v>key_limit</x:v>
      </x:c>
      <x:c r="X1" s="25" t="str">
        <x:v>source_ids</x:v>
      </x:c>
      <x:c r="Y1" s="25" t="str">
        <x:v>Acute sensing score</x:v>
      </x:c>
      <x:c r="Z1" s="25" t="str">
        <x:v>Data access score</x:v>
      </x:c>
      <x:c r="AA1" s="25" t="str">
        <x:v>Capability score</x:v>
      </x:c>
      <x:c r="AB1" s="25" t="str">
        <x:v>Delta vs Apple</x:v>
      </x:c>
      <x:c r="AC1" s="25" t="str">
        <x:v>Score band</x:v>
      </x:c>
      <x:c r="AD1" s="25" t="str">
        <x:v>Recommended action</x:v>
      </x:c>
    </x:row>
    <x:row r="2" ht="50" customHeight="1">
      <x:c r="A2" s="34" t="str">
        <x:v>1</x:v>
      </x:c>
      <x:c r="B2" s="35" t="str">
        <x:v>Apple Watch Series 11</x:v>
      </x:c>
      <x:c r="C2" s="35" t="str">
        <x:v>United States</x:v>
      </x:c>
      <x:c r="D2" s="35" t="str">
        <x:v>watch — consumer baseline</x:v>
      </x:c>
      <x:c r="E2" s="36" t="str">
        <x:v>1</x:v>
      </x:c>
      <x:c r="F2" s="36" t="str">
        <x:v>0.5</x:v>
      </x:c>
      <x:c r="G2" s="36" t="str">
        <x:v>0</x:v>
      </x:c>
      <x:c r="H2" s="36" t="str">
        <x:v>0.5</x:v>
      </x:c>
      <x:c r="I2" s="36" t="str">
        <x:v>0</x:v>
      </x:c>
      <x:c r="J2" s="36" t="str">
        <x:v>0</x:v>
      </x:c>
      <x:c r="K2" s="36" t="str">
        <x:v>0.5</x:v>
      </x:c>
      <x:c r="L2" s="36" t="str">
        <x:v>0.5</x:v>
      </x:c>
      <x:c r="M2" s="36" t="str">
        <x:v>0</x:v>
      </x:c>
      <x:c r="N2" s="36" t="str">
        <x:v>0.5</x:v>
      </x:c>
      <x:c r="O2" s="36" t="str">
        <x:v>1</x:v>
      </x:c>
      <x:c r="P2" s="36" t="str">
        <x:v>1</x:v>
      </x:c>
      <x:c r="Q2" s="36" t="str">
        <x:v>0.5</x:v>
      </x:c>
      <x:c r="R2" s="36" t="str">
        <x:v>0.5</x:v>
      </x:c>
      <x:c r="S2" s="36" t="str">
        <x:v>1</x:v>
      </x:c>
      <x:c r="T2" s="36" t="str">
        <x:v>1</x:v>
      </x:c>
      <x:c r="U2" s="34" t="str">
        <x:v>1</x:v>
      </x:c>
      <x:c r="V2" s="35" t="str">
        <x:v>HealthKit; Core Motion; XML export</x:v>
      </x:c>
      <x:c r="W2" s="35" t="str">
        <x:v>No public continuous raw PPG, EDA, or BP; several metrics are spot, night, or region limited</x:v>
      </x:c>
      <x:c r="X2" s="35" t="str">
        <x:v>APL01;APL02;APL04;APL05;VAL01</x:v>
      </x:c>
      <x:c r="Y2" s="37" t="n">
        <x:f>E2*'Codebook'!$B$5+F2*'Codebook'!$B$6+G2*'Codebook'!$B$7+H2*'Codebook'!$B$8+I2*'Codebook'!$B$9+J2*'Codebook'!$B$10+K2*'Codebook'!$B$11+L2*'Codebook'!$B$12+M2*'Codebook'!$B$13+N2*'Codebook'!$B$14+O2*'Codebook'!$B$15</x:f>
        <x:v>19</x:v>
      </x:c>
      <x:c r="Z2" s="37" t="n">
        <x:f>P2*'Codebook'!$E$5+Q2*'Codebook'!$E$6+R2*'Codebook'!$E$7+S2*'Codebook'!$E$8+T2*'Codebook'!$E$9</x:f>
        <x:v>25</x:v>
      </x:c>
      <x:c r="AA2" s="37" t="n">
        <x:f>Y2+Z2</x:f>
        <x:v>44</x:v>
      </x:c>
      <x:c r="AB2" s="37" t="n">
        <x:f>AA2-$AA$2</x:f>
        <x:v>0</x:v>
      </x:c>
      <x:c r="AC2" s="35" t="str">
        <x:f>IF(AA2&gt;=70,"High data potential",IF(AA2&gt;=50,"Pilot potential","Comparator"))</x:f>
        <x:v>Comparator</x:v>
      </x:c>
      <x:c r="AD2" s="35" t="str">
        <x:v>Bench now</x:v>
      </x:c>
    </x:row>
    <x:row r="3" ht="50" customHeight="1">
      <x:c r="A3" s="26" t="str">
        <x:v>2</x:v>
      </x:c>
      <x:c r="B3" s="33" t="str">
        <x:v>ActiGraph LEAP</x:v>
      </x:c>
      <x:c r="C3" s="33" t="str">
        <x:v>United States</x:v>
      </x:c>
      <x:c r="D3" s="33" t="str">
        <x:v>wrist wearable — clinical research primary</x:v>
      </x:c>
      <x:c r="E3" s="30" t="str">
        <x:v>1</x:v>
      </x:c>
      <x:c r="F3" s="30" t="str">
        <x:v>1</x:v>
      </x:c>
      <x:c r="G3" s="30" t="str">
        <x:v>1</x:v>
      </x:c>
      <x:c r="H3" s="30" t="str">
        <x:v>0</x:v>
      </x:c>
      <x:c r="I3" s="30" t="str">
        <x:v>0.5</x:v>
      </x:c>
      <x:c r="J3" s="30" t="str">
        <x:v>0</x:v>
      </x:c>
      <x:c r="K3" s="30" t="str">
        <x:v>0.5</x:v>
      </x:c>
      <x:c r="L3" s="30" t="str">
        <x:v>1</x:v>
      </x:c>
      <x:c r="M3" s="30" t="str">
        <x:v>0</x:v>
      </x:c>
      <x:c r="N3" s="30" t="str">
        <x:v>0.5</x:v>
      </x:c>
      <x:c r="O3" s="30" t="str">
        <x:v>1</x:v>
      </x:c>
      <x:c r="P3" s="30" t="str">
        <x:v>1</x:v>
      </x:c>
      <x:c r="Q3" s="30" t="str">
        <x:v>0.5</x:v>
      </x:c>
      <x:c r="R3" s="30" t="str">
        <x:v>1</x:v>
      </x:c>
      <x:c r="S3" s="30" t="str">
        <x:v>1</x:v>
      </x:c>
      <x:c r="T3" s="30" t="str">
        <x:v>1</x:v>
      </x:c>
      <x:c r="U3" s="26" t="str">
        <x:v>32</x:v>
      </x:c>
      <x:c r="V3" s="33" t="str">
        <x:v>CentrePoint; Data Access API; ActiLife 7</x:v>
      </x:c>
      <x:c r="W3" s="33" t="str">
        <x:v>Raw data are available after device-to-platform transfer; public documentation does not establish low-latency live streaming; BP is an external upper-arm measure, not a LEAP wrist signal</x:v>
      </x:c>
      <x:c r="X3" s="33" t="str">
        <x:v>ACT01;ACT02;VAL09</x:v>
      </x:c>
      <x:c r="Y3" s="32" t="n">
        <x:f>E3*'Codebook'!$B$5+F3*'Codebook'!$B$6+G3*'Codebook'!$B$7+H3*'Codebook'!$B$8+I3*'Codebook'!$B$9+J3*'Codebook'!$B$10+K3*'Codebook'!$B$11+L3*'Codebook'!$B$12+M3*'Codebook'!$B$13+N3*'Codebook'!$B$14+O3*'Codebook'!$B$15</x:f>
        <x:v>35</x:v>
      </x:c>
      <x:c r="Z3" s="32" t="n">
        <x:f>P3*'Codebook'!$E$5+Q3*'Codebook'!$E$6+R3*'Codebook'!$E$7+S3*'Codebook'!$E$8+T3*'Codebook'!$E$9</x:f>
        <x:v>29</x:v>
      </x:c>
      <x:c r="AA3" s="32" t="n">
        <x:f>Y3+Z3</x:f>
        <x:v>64</x:v>
      </x:c>
      <x:c r="AB3" s="32" t="n">
        <x:f>AA3-$AA$2</x:f>
        <x:v>20</x:v>
      </x:c>
      <x:c r="AC3" s="33" t="str">
        <x:f>IF(AA3&gt;=70,"High data potential",IF(AA3&gt;=50,"Pilot potential","Comparator"))</x:f>
        <x:v>Pilot potential</x:v>
      </x:c>
      <x:c r="AD3" s="33" t="str">
        <x:v>Bench now</x:v>
      </x:c>
    </x:row>
    <x:row r="4" ht="50" customHeight="1">
      <x:c r="A4" s="26" t="str">
        <x:v>3</x:v>
      </x:c>
      <x:c r="B4" s="33" t="str">
        <x:v>Biostrap Kairos</x:v>
      </x:c>
      <x:c r="C4" s="33" t="str">
        <x:v>United States</x:v>
      </x:c>
      <x:c r="D4" s="33" t="str">
        <x:v>wrist wearable — research primary</x:v>
      </x:c>
      <x:c r="E4" s="30" t="str">
        <x:v>1</x:v>
      </x:c>
      <x:c r="F4" s="30" t="str">
        <x:v>1</x:v>
      </x:c>
      <x:c r="G4" s="30" t="str">
        <x:v>1</x:v>
      </x:c>
      <x:c r="H4" s="30" t="str">
        <x:v>0</x:v>
      </x:c>
      <x:c r="I4" s="30" t="str">
        <x:v>0</x:v>
      </x:c>
      <x:c r="J4" s="30" t="str">
        <x:v>0</x:v>
      </x:c>
      <x:c r="K4" s="30" t="str">
        <x:v>0.5</x:v>
      </x:c>
      <x:c r="L4" s="30" t="str">
        <x:v>0</x:v>
      </x:c>
      <x:c r="M4" s="30" t="str">
        <x:v>0</x:v>
      </x:c>
      <x:c r="N4" s="30" t="str">
        <x:v>1</x:v>
      </x:c>
      <x:c r="O4" s="30" t="str">
        <x:v>1</x:v>
      </x:c>
      <x:c r="P4" s="30" t="str">
        <x:v>1</x:v>
      </x:c>
      <x:c r="Q4" s="30" t="str">
        <x:v>0.5</x:v>
      </x:c>
      <x:c r="R4" s="30" t="str">
        <x:v>1</x:v>
      </x:c>
      <x:c r="S4" s="30" t="str">
        <x:v>1</x:v>
      </x:c>
      <x:c r="T4" s="30" t="str">
        <x:v>1</x:v>
      </x:c>
      <x:c r="U4" s="26" t="str">
        <x:v>9</x:v>
      </x:c>
      <x:c r="V4" s="33" t="str">
        <x:v>Biostrap RPM; cloud pipeline; API; Bluetooth SDK</x:v>
      </x:c>
      <x:c r="W4" s="33" t="str">
        <x:v>Raw PPG/IBI access is contract dependent; current Kairos materials do not confirm EDA, ECG, BP, or skin temperature</x:v>
      </x:c>
      <x:c r="X4" s="33" t="str">
        <x:v>BIO01;BIO02;BIO03;VAL10</x:v>
      </x:c>
      <x:c r="Y4" s="32" t="n">
        <x:f>E4*'Codebook'!$B$5+F4*'Codebook'!$B$6+G4*'Codebook'!$B$7+H4*'Codebook'!$B$8+I4*'Codebook'!$B$9+J4*'Codebook'!$B$10+K4*'Codebook'!$B$11+L4*'Codebook'!$B$12+M4*'Codebook'!$B$13+N4*'Codebook'!$B$14+O4*'Codebook'!$B$15</x:f>
        <x:v>30.5</x:v>
      </x:c>
      <x:c r="Z4" s="32" t="n">
        <x:f>P4*'Codebook'!$E$5+Q4*'Codebook'!$E$6+R4*'Codebook'!$E$7+S4*'Codebook'!$E$8+T4*'Codebook'!$E$9</x:f>
        <x:v>29</x:v>
      </x:c>
      <x:c r="AA4" s="32" t="n">
        <x:f>Y4+Z4</x:f>
        <x:v>59.5</x:v>
      </x:c>
      <x:c r="AB4" s="32" t="n">
        <x:f>AA4-$AA$2</x:f>
        <x:v>15.5</x:v>
      </x:c>
      <x:c r="AC4" s="33" t="str">
        <x:f>IF(AA4&gt;=70,"High data potential",IF(AA4&gt;=50,"Pilot potential","Comparator"))</x:f>
        <x:v>Pilot potential</x:v>
      </x:c>
      <x:c r="AD4" s="33" t="str">
        <x:v>Bench now</x:v>
      </x:c>
    </x:row>
    <x:row r="5" ht="50" customHeight="1">
      <x:c r="A5" s="26" t="str">
        <x:v>4</x:v>
      </x:c>
      <x:c r="B5" s="33" t="str">
        <x:v>VitalConnect VitalPatch RTM</x:v>
      </x:c>
      <x:c r="C5" s="33" t="str">
        <x:v>United States</x:v>
      </x:c>
      <x:c r="D5" s="33" t="str">
        <x:v>chest patch — clinical signal reference</x:v>
      </x:c>
      <x:c r="E5" s="30" t="str">
        <x:v>1</x:v>
      </x:c>
      <x:c r="F5" s="30" t="str">
        <x:v>1</x:v>
      </x:c>
      <x:c r="G5" s="30" t="str">
        <x:v>0</x:v>
      </x:c>
      <x:c r="H5" s="30" t="str">
        <x:v>1</x:v>
      </x:c>
      <x:c r="I5" s="30" t="str">
        <x:v>0</x:v>
      </x:c>
      <x:c r="J5" s="30" t="str">
        <x:v>0</x:v>
      </x:c>
      <x:c r="K5" s="30" t="str">
        <x:v>0</x:v>
      </x:c>
      <x:c r="L5" s="30" t="str">
        <x:v>1</x:v>
      </x:c>
      <x:c r="M5" s="30" t="str">
        <x:v>0</x:v>
      </x:c>
      <x:c r="N5" s="30" t="str">
        <x:v>1</x:v>
      </x:c>
      <x:c r="O5" s="30" t="str">
        <x:v>1</x:v>
      </x:c>
      <x:c r="P5" s="30" t="str">
        <x:v>1</x:v>
      </x:c>
      <x:c r="Q5" s="30" t="str">
        <x:v>1</x:v>
      </x:c>
      <x:c r="R5" s="30" t="str">
        <x:v>1</x:v>
      </x:c>
      <x:c r="S5" s="30" t="str">
        <x:v>1</x:v>
      </x:c>
      <x:c r="T5" s="30" t="str">
        <x:v>1</x:v>
      </x:c>
      <x:c r="U5" s="26" t="str"/>
      <x:c r="V5" s="33" t="str">
        <x:v>VitalConnect Platform; Relay Software Library APIs; VistaCenter CSV</x:v>
      </x:c>
      <x:c r="W5" s="33" t="str">
        <x:v>Chest placement is not a watch; no BP, SpO2, or EDA from the patch itself; validate adhesive tolerance and workflow integration</x:v>
      </x:c>
      <x:c r="X5" s="33" t="str">
        <x:v>VIT01;VIT02;VAL07;VAL08</x:v>
      </x:c>
      <x:c r="Y5" s="32" t="n">
        <x:f>E5*'Codebook'!$B$5+F5*'Codebook'!$B$6+G5*'Codebook'!$B$7+H5*'Codebook'!$B$8+I5*'Codebook'!$B$9+J5*'Codebook'!$B$10+K5*'Codebook'!$B$11+L5*'Codebook'!$B$12+M5*'Codebook'!$B$13+N5*'Codebook'!$B$14+O5*'Codebook'!$B$15</x:f>
        <x:v>25</x:v>
      </x:c>
      <x:c r="Z5" s="32" t="n">
        <x:f>P5*'Codebook'!$E$5+Q5*'Codebook'!$E$6+R5*'Codebook'!$E$7+S5*'Codebook'!$E$8+T5*'Codebook'!$E$9</x:f>
        <x:v>35</x:v>
      </x:c>
      <x:c r="AA5" s="32" t="n">
        <x:f>Y5+Z5</x:f>
        <x:v>60</x:v>
      </x:c>
      <x:c r="AB5" s="32" t="n">
        <x:f>AA5-$AA$2</x:f>
        <x:v>16</x:v>
      </x:c>
      <x:c r="AC5" s="33" t="str">
        <x:f>IF(AA5&gt;=70,"High data potential",IF(AA5&gt;=50,"Pilot potential","Comparator"))</x:f>
        <x:v>Pilot potential</x:v>
      </x:c>
      <x:c r="AD5" s="33" t="str">
        <x:v>Bench now</x:v>
      </x:c>
    </x:row>
    <x:row r="6" ht="50" customHeight="1">
      <x:c r="A6" s="26" t="str">
        <x:v>5</x:v>
      </x:c>
      <x:c r="B6" s="33" t="str">
        <x:v>Google Pixel Watch 4</x:v>
      </x:c>
      <x:c r="C6" s="33" t="str">
        <x:v>United States</x:v>
      </x:c>
      <x:c r="D6" s="33" t="str">
        <x:v>watch — Android comparator</x:v>
      </x:c>
      <x:c r="E6" s="30" t="str">
        <x:v>1</x:v>
      </x:c>
      <x:c r="F6" s="30" t="str">
        <x:v>0.5</x:v>
      </x:c>
      <x:c r="G6" s="30" t="str">
        <x:v>0</x:v>
      </x:c>
      <x:c r="H6" s="30" t="str">
        <x:v>0.5</x:v>
      </x:c>
      <x:c r="I6" s="30" t="str">
        <x:v>0</x:v>
      </x:c>
      <x:c r="J6" s="30" t="str">
        <x:v>0</x:v>
      </x:c>
      <x:c r="K6" s="30" t="str">
        <x:v>0.5</x:v>
      </x:c>
      <x:c r="L6" s="30" t="str">
        <x:v>0.5</x:v>
      </x:c>
      <x:c r="M6" s="30" t="str">
        <x:v>1</x:v>
      </x:c>
      <x:c r="N6" s="30" t="str">
        <x:v>0.5</x:v>
      </x:c>
      <x:c r="O6" s="30" t="str">
        <x:v>1</x:v>
      </x:c>
      <x:c r="P6" s="30" t="str">
        <x:v>1</x:v>
      </x:c>
      <x:c r="Q6" s="30" t="str">
        <x:v>0.5</x:v>
      </x:c>
      <x:c r="R6" s="30" t="str">
        <x:v>0</x:v>
      </x:c>
      <x:c r="S6" s="30" t="str">
        <x:v>1</x:v>
      </x:c>
      <x:c r="T6" s="30" t="str">
        <x:v>1</x:v>
      </x:c>
      <x:c r="U6" s="26" t="str">
        <x:v>1.7</x:v>
      </x:c>
      <x:c r="V6" s="33" t="str">
        <x:v>Wear OS Health Services; Fitbit Web API; Health Connect; account export</x:v>
      </x:c>
      <x:c r="W6" s="33" t="str">
        <x:v>Live access is processed HR; passive updates may be batched; no public raw PPG or EDA export</x:v>
      </x:c>
      <x:c r="X6" s="33" t="str">
        <x:v>GOO01;GOO03;GOO04</x:v>
      </x:c>
      <x:c r="Y6" s="32" t="n">
        <x:f>E6*'Codebook'!$B$5+F6*'Codebook'!$B$6+G6*'Codebook'!$B$7+H6*'Codebook'!$B$8+I6*'Codebook'!$B$9+J6*'Codebook'!$B$10+K6*'Codebook'!$B$11+L6*'Codebook'!$B$12+M6*'Codebook'!$B$13+N6*'Codebook'!$B$14+O6*'Codebook'!$B$15</x:f>
        <x:v>26</x:v>
      </x:c>
      <x:c r="Z6" s="32" t="n">
        <x:f>P6*'Codebook'!$E$5+Q6*'Codebook'!$E$6+R6*'Codebook'!$E$7+S6*'Codebook'!$E$8+T6*'Codebook'!$E$9</x:f>
        <x:v>21</x:v>
      </x:c>
      <x:c r="AA6" s="32" t="n">
        <x:f>Y6+Z6</x:f>
        <x:v>47</x:v>
      </x:c>
      <x:c r="AB6" s="32" t="n">
        <x:f>AA6-$AA$2</x:f>
        <x:v>3</x:v>
      </x:c>
      <x:c r="AC6" s="33" t="str">
        <x:f>IF(AA6&gt;=70,"High data potential",IF(AA6&gt;=50,"Pilot potential","Comparator"))</x:f>
        <x:v>Comparator</x:v>
      </x:c>
      <x:c r="AD6" s="33" t="str">
        <x:v>Comparator</x:v>
      </x:c>
    </x:row>
    <x:row r="7" ht="50" customHeight="1">
      <x:c r="A7" s="26" t="str">
        <x:v>6</x:v>
      </x:c>
      <x:c r="B7" s="33" t="str">
        <x:v>Fitbit Sense 2</x:v>
      </x:c>
      <x:c r="C7" s="33" t="str">
        <x:v>United States</x:v>
      </x:c>
      <x:c r="D7" s="33" t="str">
        <x:v>watch — consumer comparator</x:v>
      </x:c>
      <x:c r="E7" s="30" t="str">
        <x:v>1</x:v>
      </x:c>
      <x:c r="F7" s="30" t="str">
        <x:v>0.5</x:v>
      </x:c>
      <x:c r="G7" s="30" t="str">
        <x:v>0</x:v>
      </x:c>
      <x:c r="H7" s="30" t="str">
        <x:v>0.5</x:v>
      </x:c>
      <x:c r="I7" s="30" t="str">
        <x:v>0</x:v>
      </x:c>
      <x:c r="J7" s="30" t="str">
        <x:v>0</x:v>
      </x:c>
      <x:c r="K7" s="30" t="str">
        <x:v>0.5</x:v>
      </x:c>
      <x:c r="L7" s="30" t="str">
        <x:v>0.5</x:v>
      </x:c>
      <x:c r="M7" s="30" t="str">
        <x:v>1</x:v>
      </x:c>
      <x:c r="N7" s="30" t="str">
        <x:v>0.5</x:v>
      </x:c>
      <x:c r="O7" s="30" t="str">
        <x:v>1</x:v>
      </x:c>
      <x:c r="P7" s="30" t="str">
        <x:v>1</x:v>
      </x:c>
      <x:c r="Q7" s="30" t="str">
        <x:v>0</x:v>
      </x:c>
      <x:c r="R7" s="30" t="str">
        <x:v>0</x:v>
      </x:c>
      <x:c r="S7" s="30" t="str">
        <x:v>0.5</x:v>
      </x:c>
      <x:c r="T7" s="30" t="str">
        <x:v>1</x:v>
      </x:c>
      <x:c r="U7" s="26" t="str">
        <x:v>6</x:v>
      </x:c>
      <x:c r="V7" s="33" t="str">
        <x:v>Fitbit Web API; account archive</x:v>
      </x:c>
      <x:c r="W7" s="33" t="str">
        <x:v>No research-grade live raw stream; multi-user intraday access needs approval; ECG, SpO2, and temperature are not continuous raw feeds</x:v>
      </x:c>
      <x:c r="X7" s="33" t="str">
        <x:v>FIT01;FIT03;FIT04;VAL01;VAL02</x:v>
      </x:c>
      <x:c r="Y7" s="32" t="n">
        <x:f>E7*'Codebook'!$B$5+F7*'Codebook'!$B$6+G7*'Codebook'!$B$7+H7*'Codebook'!$B$8+I7*'Codebook'!$B$9+J7*'Codebook'!$B$10+K7*'Codebook'!$B$11+L7*'Codebook'!$B$12+M7*'Codebook'!$B$13+N7*'Codebook'!$B$14+O7*'Codebook'!$B$15</x:f>
        <x:v>26</x:v>
      </x:c>
      <x:c r="Z7" s="32" t="n">
        <x:f>P7*'Codebook'!$E$5+Q7*'Codebook'!$E$6+R7*'Codebook'!$E$7+S7*'Codebook'!$E$8+T7*'Codebook'!$E$9</x:f>
        <x:v>11.5</x:v>
      </x:c>
      <x:c r="AA7" s="32" t="n">
        <x:f>Y7+Z7</x:f>
        <x:v>37.5</x:v>
      </x:c>
      <x:c r="AB7" s="32" t="n">
        <x:f>AA7-$AA$2</x:f>
        <x:v>-6.5</x:v>
      </x:c>
      <x:c r="AC7" s="33" t="str">
        <x:f>IF(AA7&gt;=70,"High data potential",IF(AA7&gt;=50,"Pilot potential","Comparator"))</x:f>
        <x:v>Comparator</x:v>
      </x:c>
      <x:c r="AD7" s="33" t="str">
        <x:v>Comparator</x:v>
      </x:c>
    </x:row>
    <x:row r="8" ht="50" customHeight="1">
      <x:c r="A8" s="26" t="str">
        <x:v>7</x:v>
      </x:c>
      <x:c r="B8" s="33" t="str">
        <x:v>Garmin Venu 4</x:v>
      </x:c>
      <x:c r="C8" s="33" t="str">
        <x:v>United States operational headquarters</x:v>
      </x:c>
      <x:c r="D8" s="33" t="str">
        <x:v>watch — enterprise SDK comparator</x:v>
      </x:c>
      <x:c r="E8" s="30" t="str">
        <x:v>1</x:v>
      </x:c>
      <x:c r="F8" s="30" t="str">
        <x:v>1</x:v>
      </x:c>
      <x:c r="G8" s="30" t="str">
        <x:v>0</x:v>
      </x:c>
      <x:c r="H8" s="30" t="str">
        <x:v>0.5</x:v>
      </x:c>
      <x:c r="I8" s="30" t="str">
        <x:v>0</x:v>
      </x:c>
      <x:c r="J8" s="30" t="str">
        <x:v>0</x:v>
      </x:c>
      <x:c r="K8" s="30" t="str">
        <x:v>0.5</x:v>
      </x:c>
      <x:c r="L8" s="30" t="str">
        <x:v>1</x:v>
      </x:c>
      <x:c r="M8" s="30" t="str">
        <x:v>0</x:v>
      </x:c>
      <x:c r="N8" s="30" t="str">
        <x:v>1</x:v>
      </x:c>
      <x:c r="O8" s="30" t="str">
        <x:v>1</x:v>
      </x:c>
      <x:c r="P8" s="30" t="str">
        <x:v>1</x:v>
      </x:c>
      <x:c r="Q8" s="30" t="str">
        <x:v>0.5</x:v>
      </x:c>
      <x:c r="R8" s="30" t="str">
        <x:v>0.5</x:v>
      </x:c>
      <x:c r="S8" s="30" t="str">
        <x:v>0.5</x:v>
      </x:c>
      <x:c r="T8" s="30" t="str">
        <x:v>1</x:v>
      </x:c>
      <x:c r="U8" s="26" t="str">
        <x:v>12</x:v>
      </x:c>
      <x:c r="V8" s="33" t="str">
        <x:v>Garmin Health SDK/API; Garmin Connect export</x:v>
      </x:c>
      <x:c r="W8" s="33" t="str">
        <x:v>Enterprise licensing and approval; live data are largely processed rather than raw optical waveforms</x:v>
      </x:c>
      <x:c r="X8" s="33" t="str">
        <x:v>GAR01;GAR03;GAR04;VAL02</x:v>
      </x:c>
      <x:c r="Y8" s="32" t="n">
        <x:f>E8*'Codebook'!$B$5+F8*'Codebook'!$B$6+G8*'Codebook'!$B$7+H8*'Codebook'!$B$8+I8*'Codebook'!$B$9+J8*'Codebook'!$B$10+K8*'Codebook'!$B$11+L8*'Codebook'!$B$12+M8*'Codebook'!$B$13+N8*'Codebook'!$B$14+O8*'Codebook'!$B$15</x:f>
        <x:v>25</x:v>
      </x:c>
      <x:c r="Z8" s="32" t="n">
        <x:f>P8*'Codebook'!$E$5+Q8*'Codebook'!$E$6+R8*'Codebook'!$E$7+S8*'Codebook'!$E$8+T8*'Codebook'!$E$9</x:f>
        <x:v>21.5</x:v>
      </x:c>
      <x:c r="AA8" s="32" t="n">
        <x:f>Y8+Z8</x:f>
        <x:v>46.5</x:v>
      </x:c>
      <x:c r="AB8" s="32" t="n">
        <x:f>AA8-$AA$2</x:f>
        <x:v>2.5</x:v>
      </x:c>
      <x:c r="AC8" s="33" t="str">
        <x:f>IF(AA8&gt;=70,"High data potential",IF(AA8&gt;=50,"Pilot potential","Comparator"))</x:f>
        <x:v>Comparator</x:v>
      </x:c>
      <x:c r="AD8" s="33" t="str">
        <x:v>Vendor diligence</x:v>
      </x:c>
    </x:row>
    <x:row r="9" ht="50" customHeight="1">
      <x:c r="A9" s="26" t="str">
        <x:v>8</x:v>
      </x:c>
      <x:c r="B9" s="33" t="str">
        <x:v>WHOOP MG</x:v>
      </x:c>
      <x:c r="C9" s="33" t="str">
        <x:v>United States</x:v>
      </x:c>
      <x:c r="D9" s="33" t="str">
        <x:v>band — longitudinal baseline</x:v>
      </x:c>
      <x:c r="E9" s="30" t="str">
        <x:v>1</x:v>
      </x:c>
      <x:c r="F9" s="30" t="str">
        <x:v>0.5</x:v>
      </x:c>
      <x:c r="G9" s="30" t="str">
        <x:v>0</x:v>
      </x:c>
      <x:c r="H9" s="30" t="str">
        <x:v>0.5</x:v>
      </x:c>
      <x:c r="I9" s="30" t="str">
        <x:v>0.5</x:v>
      </x:c>
      <x:c r="J9" s="30" t="str">
        <x:v>0</x:v>
      </x:c>
      <x:c r="K9" s="30" t="str">
        <x:v>0.5</x:v>
      </x:c>
      <x:c r="L9" s="30" t="str">
        <x:v>0.5</x:v>
      </x:c>
      <x:c r="M9" s="30" t="str">
        <x:v>0</x:v>
      </x:c>
      <x:c r="N9" s="30" t="str">
        <x:v>0.5</x:v>
      </x:c>
      <x:c r="O9" s="30" t="str">
        <x:v>1</x:v>
      </x:c>
      <x:c r="P9" s="30" t="str">
        <x:v>1</x:v>
      </x:c>
      <x:c r="Q9" s="30" t="str">
        <x:v>0</x:v>
      </x:c>
      <x:c r="R9" s="30" t="str">
        <x:v>0</x:v>
      </x:c>
      <x:c r="S9" s="30" t="str">
        <x:v>1</x:v>
      </x:c>
      <x:c r="T9" s="30" t="str">
        <x:v>1</x:v>
      </x:c>
      <x:c r="U9" s="26" t="str">
        <x:v>14</x:v>
      </x:c>
      <x:c r="V9" s="33" t="str">
        <x:v>WHOOP API; CSV account export</x:v>
      </x:c>
      <x:c r="W9" s="33" t="str">
        <x:v>API is mainly aggregate; BP is a daily cuff-calibrated resting estimate; no public raw PPG or IBI stream</x:v>
      </x:c>
      <x:c r="X9" s="33" t="str">
        <x:v>WHO01;WHO03;WHO04;VAL02</x:v>
      </x:c>
      <x:c r="Y9" s="32" t="n">
        <x:f>E9*'Codebook'!$B$5+F9*'Codebook'!$B$6+G9*'Codebook'!$B$7+H9*'Codebook'!$B$8+I9*'Codebook'!$B$9+J9*'Codebook'!$B$10+K9*'Codebook'!$B$11+L9*'Codebook'!$B$12+M9*'Codebook'!$B$13+N9*'Codebook'!$B$14+O9*'Codebook'!$B$15</x:f>
        <x:v>21.5</x:v>
      </x:c>
      <x:c r="Z9" s="32" t="n">
        <x:f>P9*'Codebook'!$E$5+Q9*'Codebook'!$E$6+R9*'Codebook'!$E$7+S9*'Codebook'!$E$8+T9*'Codebook'!$E$9</x:f>
        <x:v>15</x:v>
      </x:c>
      <x:c r="AA9" s="32" t="n">
        <x:f>Y9+Z9</x:f>
        <x:v>36.5</x:v>
      </x:c>
      <x:c r="AB9" s="32" t="n">
        <x:f>AA9-$AA$2</x:f>
        <x:v>-7.5</x:v>
      </x:c>
      <x:c r="AC9" s="33" t="str">
        <x:f>IF(AA9&gt;=70,"High data potential",IF(AA9&gt;=50,"Pilot potential","Comparator"))</x:f>
        <x:v>Comparator</x:v>
      </x:c>
      <x:c r="AD9" s="33" t="str">
        <x:v>Baseline only</x:v>
      </x:c>
    </x:row>
    <x:row r="10" ht="50" customHeight="1">
      <x:c r="A10" s="26" t="str">
        <x:v>9</x:v>
      </x:c>
      <x:c r="B10" s="33" t="str">
        <x:v>BioIntelliSense BioButton Rechargeable</x:v>
      </x:c>
      <x:c r="C10" s="33" t="str">
        <x:v>United States</x:v>
      </x:c>
      <x:c r="D10" s="33" t="str">
        <x:v>chest wearable — ward-monitoring comparator</x:v>
      </x:c>
      <x:c r="E10" s="30" t="str">
        <x:v>1</x:v>
      </x:c>
      <x:c r="F10" s="30" t="str">
        <x:v>0</x:v>
      </x:c>
      <x:c r="G10" s="30" t="str">
        <x:v>0</x:v>
      </x:c>
      <x:c r="H10" s="30" t="str">
        <x:v>0</x:v>
      </x:c>
      <x:c r="I10" s="30" t="str">
        <x:v>0</x:v>
      </x:c>
      <x:c r="J10" s="30" t="str">
        <x:v>0</x:v>
      </x:c>
      <x:c r="K10" s="30" t="str">
        <x:v>0</x:v>
      </x:c>
      <x:c r="L10" s="30" t="str">
        <x:v>1</x:v>
      </x:c>
      <x:c r="M10" s="30" t="str">
        <x:v>0</x:v>
      </x:c>
      <x:c r="N10" s="30" t="str">
        <x:v>1</x:v>
      </x:c>
      <x:c r="O10" s="30" t="str">
        <x:v>1</x:v>
      </x:c>
      <x:c r="P10" s="30" t="str">
        <x:v>1</x:v>
      </x:c>
      <x:c r="Q10" s="30" t="str">
        <x:v>0.5</x:v>
      </x:c>
      <x:c r="R10" s="30" t="str">
        <x:v>0</x:v>
      </x:c>
      <x:c r="S10" s="30" t="str">
        <x:v>0.5</x:v>
      </x:c>
      <x:c r="T10" s="30" t="str">
        <x:v>0.5</x:v>
      </x:c>
      <x:c r="U10" s="26" t="str">
        <x:v>10</x:v>
      </x:c>
      <x:c r="V10" s="33" t="str">
        <x:v>BioMobile/BioHub; BioCloud; BioDashboard; EMR integration</x:v>
      </x:c>
      <x:c r="W10" s="33" t="str">
        <x:v>HR and RR are reported at rest and may be suppressed during motion; no public raw waveform or study SDK contract</x:v>
      </x:c>
      <x:c r="X10" s="33" t="str">
        <x:v>BBT01;BBT02;VAL06</x:v>
      </x:c>
      <x:c r="Y10" s="32" t="n">
        <x:f>E10*'Codebook'!$B$5+F10*'Codebook'!$B$6+G10*'Codebook'!$B$7+H10*'Codebook'!$B$8+I10*'Codebook'!$B$9+J10*'Codebook'!$B$10+K10*'Codebook'!$B$11+L10*'Codebook'!$B$12+M10*'Codebook'!$B$13+N10*'Codebook'!$B$14+O10*'Codebook'!$B$15</x:f>
        <x:v>15</x:v>
      </x:c>
      <x:c r="Z10" s="32" t="n">
        <x:f>P10*'Codebook'!$E$5+Q10*'Codebook'!$E$6+R10*'Codebook'!$E$7+S10*'Codebook'!$E$8+T10*'Codebook'!$E$9</x:f>
        <x:v>16</x:v>
      </x:c>
      <x:c r="AA10" s="32" t="n">
        <x:f>Y10+Z10</x:f>
        <x:v>31</x:v>
      </x:c>
      <x:c r="AB10" s="32" t="n">
        <x:f>AA10-$AA$2</x:f>
        <x:v>-13</x:v>
      </x:c>
      <x:c r="AC10" s="33" t="str">
        <x:f>IF(AA10&gt;=70,"High data potential",IF(AA10&gt;=50,"Pilot potential","Comparator"))</x:f>
        <x:v>Comparator</x:v>
      </x:c>
      <x:c r="AD10" s="33" t="str">
        <x:v>Not acute-primary</x:v>
      </x:c>
    </x:row>
    <x:row r="11" ht="50" customHeight="1">
      <x:c r="A11" s="26" t="str">
        <x:v>10</x:v>
      </x:c>
      <x:c r="B11" s="33" t="str">
        <x:v>Masimo W1 Medical</x:v>
      </x:c>
      <x:c r="C11" s="33" t="str">
        <x:v>United States</x:v>
      </x:c>
      <x:c r="D11" s="33" t="str">
        <x:v>watch — medical SpO2 comparator</x:v>
      </x:c>
      <x:c r="E11" s="30" t="str">
        <x:v>1</x:v>
      </x:c>
      <x:c r="F11" s="30" t="str">
        <x:v>0.5</x:v>
      </x:c>
      <x:c r="G11" s="30" t="str">
        <x:v>0</x:v>
      </x:c>
      <x:c r="H11" s="30" t="str">
        <x:v>0.5</x:v>
      </x:c>
      <x:c r="I11" s="30" t="str">
        <x:v>0</x:v>
      </x:c>
      <x:c r="J11" s="30" t="str">
        <x:v>0</x:v>
      </x:c>
      <x:c r="K11" s="30" t="str">
        <x:v>1</x:v>
      </x:c>
      <x:c r="L11" s="30" t="str">
        <x:v>0</x:v>
      </x:c>
      <x:c r="M11" s="30" t="str">
        <x:v>0</x:v>
      </x:c>
      <x:c r="N11" s="30" t="str">
        <x:v>0</x:v>
      </x:c>
      <x:c r="O11" s="30" t="str">
        <x:v>1</x:v>
      </x:c>
      <x:c r="P11" s="30" t="str">
        <x:v>1</x:v>
      </x:c>
      <x:c r="Q11" s="30" t="str">
        <x:v>0.5</x:v>
      </x:c>
      <x:c r="R11" s="30" t="str">
        <x:v>0</x:v>
      </x:c>
      <x:c r="S11" s="30" t="str">
        <x:v>0.5</x:v>
      </x:c>
      <x:c r="T11" s="30" t="str">
        <x:v>0.5</x:v>
      </x:c>
      <x:c r="U11" s="26" t="str">
        <x:v>1</x:v>
      </x:c>
      <x:c r="V11" s="33" t="str">
        <x:v>Masimo W1 UI; Masimo SafetyNet pathway by contract</x:v>
      </x:c>
      <x:c r="W11" s="33" t="str">
        <x:v>Strong SpO2/PR positioning, but no public raw optical stream or open research API; ECG is spot-check</x:v>
      </x:c>
      <x:c r="X11" s="33" t="str">
        <x:v>MAS01;VAL11</x:v>
      </x:c>
      <x:c r="Y11" s="32" t="n">
        <x:f>E11*'Codebook'!$B$5+F11*'Codebook'!$B$6+G11*'Codebook'!$B$7+H11*'Codebook'!$B$8+I11*'Codebook'!$B$9+J11*'Codebook'!$B$10+K11*'Codebook'!$B$11+L11*'Codebook'!$B$12+M11*'Codebook'!$B$13+N11*'Codebook'!$B$14+O11*'Codebook'!$B$15</x:f>
        <x:v>18</x:v>
      </x:c>
      <x:c r="Z11" s="32" t="n">
        <x:f>P11*'Codebook'!$E$5+Q11*'Codebook'!$E$6+R11*'Codebook'!$E$7+S11*'Codebook'!$E$8+T11*'Codebook'!$E$9</x:f>
        <x:v>16</x:v>
      </x:c>
      <x:c r="AA11" s="32" t="n">
        <x:f>Y11+Z11</x:f>
        <x:v>34</x:v>
      </x:c>
      <x:c r="AB11" s="32" t="n">
        <x:f>AA11-$AA$2</x:f>
        <x:v>-10</x:v>
      </x:c>
      <x:c r="AC11" s="33" t="str">
        <x:f>IF(AA11&gt;=70,"High data potential",IF(AA11&gt;=50,"Pilot potential","Comparator"))</x:f>
        <x:v>Comparator</x:v>
      </x:c>
      <x:c r="AD11" s="33" t="str">
        <x:v>Vendor diligence</x:v>
      </x:c>
    </x:row>
    <x:row r="12" ht="50" customHeight="1">
      <x:c r="A12" s="26" t="str">
        <x:v>11</x:v>
      </x:c>
      <x:c r="B12" s="33" t="str">
        <x:v>iRhythm Zio AT</x:v>
      </x:c>
      <x:c r="C12" s="33" t="str">
        <x:v>United States</x:v>
      </x:c>
      <x:c r="D12" s="33" t="str">
        <x:v>chest patch — ambulatory ECG comparator</x:v>
      </x:c>
      <x:c r="E12" s="30" t="str">
        <x:v>1</x:v>
      </x:c>
      <x:c r="F12" s="30" t="str">
        <x:v>1</x:v>
      </x:c>
      <x:c r="G12" s="30" t="str">
        <x:v>0</x:v>
      </x:c>
      <x:c r="H12" s="30" t="str">
        <x:v>1</x:v>
      </x:c>
      <x:c r="I12" s="30" t="str">
        <x:v>0</x:v>
      </x:c>
      <x:c r="J12" s="30" t="str">
        <x:v>0</x:v>
      </x:c>
      <x:c r="K12" s="30" t="str">
        <x:v>0</x:v>
      </x:c>
      <x:c r="L12" s="30" t="str">
        <x:v>0</x:v>
      </x:c>
      <x:c r="M12" s="30" t="str">
        <x:v>0</x:v>
      </x:c>
      <x:c r="N12" s="30" t="str">
        <x:v>0</x:v>
      </x:c>
      <x:c r="O12" s="30" t="str">
        <x:v>0.5</x:v>
      </x:c>
      <x:c r="P12" s="30" t="str">
        <x:v>1</x:v>
      </x:c>
      <x:c r="Q12" s="30" t="str">
        <x:v>0.5</x:v>
      </x:c>
      <x:c r="R12" s="30" t="str">
        <x:v>0.5</x:v>
      </x:c>
      <x:c r="S12" s="30" t="str">
        <x:v>0.5</x:v>
      </x:c>
      <x:c r="T12" s="30" t="str">
        <x:v>0.5</x:v>
      </x:c>
      <x:c r="U12" s="26" t="str">
        <x:v>14</x:v>
      </x:c>
      <x:c r="V12" s="33" t="str">
        <x:v>Zio AT gateway; Zio ECG Utilization Service; ZioSuite reports</x:v>
      </x:c>
      <x:c r="W12" s="33" t="str">
        <x:v>Continuous ECG recording and event transmission do not equal an open raw research stream; labeling excludes critical-care use</x:v>
      </x:c>
      <x:c r="X12" s="33" t="str">
        <x:v>ZIO01;ZIO02</x:v>
      </x:c>
      <x:c r="Y12" s="32" t="n">
        <x:f>E12*'Codebook'!$B$5+F12*'Codebook'!$B$6+G12*'Codebook'!$B$7+H12*'Codebook'!$B$8+I12*'Codebook'!$B$9+J12*'Codebook'!$B$10+K12*'Codebook'!$B$11+L12*'Codebook'!$B$12+M12*'Codebook'!$B$13+N12*'Codebook'!$B$14+O12*'Codebook'!$B$15</x:f>
        <x:v>17.5</x:v>
      </x:c>
      <x:c r="Z12" s="32" t="n">
        <x:f>P12*'Codebook'!$E$5+Q12*'Codebook'!$E$6+R12*'Codebook'!$E$7+S12*'Codebook'!$E$8+T12*'Codebook'!$E$9</x:f>
        <x:v>20</x:v>
      </x:c>
      <x:c r="AA12" s="32" t="n">
        <x:f>Y12+Z12</x:f>
        <x:v>37.5</x:v>
      </x:c>
      <x:c r="AB12" s="32" t="n">
        <x:f>AA12-$AA$2</x:f>
        <x:v>-6.5</x:v>
      </x:c>
      <x:c r="AC12" s="33" t="str">
        <x:f>IF(AA12&gt;=70,"High data potential",IF(AA12&gt;=50,"Pilot potential","Comparator"))</x:f>
        <x:v>Comparator</x:v>
      </x:c>
      <x:c r="AD12" s="33" t="str">
        <x:v>Cardiac comparator</x:v>
      </x:c>
    </x:row>
    <x:row r="13" ht="50" customHeight="1">
      <x:c r="A13" s="38" t="str">
        <x:v>12</x:v>
      </x:c>
      <x:c r="B13" s="39" t="str">
        <x:v>Samsung Galaxy Watch8</x:v>
      </x:c>
      <x:c r="C13" s="39" t="str">
        <x:v>South Korea</x:v>
      </x:c>
      <x:c r="D13" s="39" t="str">
        <x:v>watch — non-US direct-evidence benchmark</x:v>
      </x:c>
      <x:c r="E13" s="40" t="str">
        <x:v>1</x:v>
      </x:c>
      <x:c r="F13" s="40" t="str">
        <x:v>1</x:v>
      </x:c>
      <x:c r="G13" s="40" t="str">
        <x:v>1</x:v>
      </x:c>
      <x:c r="H13" s="40" t="str">
        <x:v>0.5</x:v>
      </x:c>
      <x:c r="I13" s="40" t="str">
        <x:v>0.5</x:v>
      </x:c>
      <x:c r="J13" s="40" t="str">
        <x:v>0</x:v>
      </x:c>
      <x:c r="K13" s="40" t="str">
        <x:v>0.5</x:v>
      </x:c>
      <x:c r="L13" s="40" t="str">
        <x:v>1</x:v>
      </x:c>
      <x:c r="M13" s="40" t="str">
        <x:v>1</x:v>
      </x:c>
      <x:c r="N13" s="40" t="str">
        <x:v>0.5</x:v>
      </x:c>
      <x:c r="O13" s="40" t="str">
        <x:v>1</x:v>
      </x:c>
      <x:c r="P13" s="40" t="str">
        <x:v>1</x:v>
      </x:c>
      <x:c r="Q13" s="40" t="str">
        <x:v>1</x:v>
      </x:c>
      <x:c r="R13" s="40" t="str">
        <x:v>1</x:v>
      </x:c>
      <x:c r="S13" s="40" t="str">
        <x:v>0.5</x:v>
      </x:c>
      <x:c r="T13" s="40" t="str">
        <x:v>1</x:v>
      </x:c>
      <x:c r="U13" s="38" t="str">
        <x:v>1.7</x:v>
      </x:c>
      <x:c r="V13" s="39" t="str">
        <x:v>Samsung Health Sensor SDK; Health Data SDK; account export</x:v>
      </x:c>
      <x:c r="W13" s="39" t="str">
        <x:v>Commercial distribution needs Samsung partner approval; BP is cuff-calibrated and not continuous; non-US benchmark retained because of direct VVS PPG evidence</x:v>
      </x:c>
      <x:c r="X13" s="39" t="str">
        <x:v>SAM02;SAM03;SAM04;VVS01</x:v>
      </x:c>
      <x:c r="Y13" s="41" t="n">
        <x:f>E13*'Codebook'!$B$5+F13*'Codebook'!$B$6+G13*'Codebook'!$B$7+H13*'Codebook'!$B$8+I13*'Codebook'!$B$9+J13*'Codebook'!$B$10+K13*'Codebook'!$B$11+L13*'Codebook'!$B$12+M13*'Codebook'!$B$13+N13*'Codebook'!$B$14+O13*'Codebook'!$B$15</x:f>
        <x:v>43.5</x:v>
      </x:c>
      <x:c r="Z13" s="41" t="n">
        <x:f>P13*'Codebook'!$E$5+Q13*'Codebook'!$E$6+R13*'Codebook'!$E$7+S13*'Codebook'!$E$8+T13*'Codebook'!$E$9</x:f>
        <x:v>31.5</x:v>
      </x:c>
      <x:c r="AA13" s="41" t="n">
        <x:f>Y13+Z13</x:f>
        <x:v>75</x:v>
      </x:c>
      <x:c r="AB13" s="41" t="n">
        <x:f>AA13-$AA$2</x:f>
        <x:v>31</x:v>
      </x:c>
      <x:c r="AC13" s="39" t="str">
        <x:f>IF(AA13&gt;=70,"High data potential",IF(AA13&gt;=50,"Pilot potential","Comparator"))</x:f>
        <x:v>High data potential</x:v>
      </x:c>
      <x:c r="AD13" s="39" t="str">
        <x:v>Evidence control</x:v>
      </x:c>
    </x:row>
    <x:row r="14" ht="50" customHeight="1">
      <x:c r="A14" s="26" t="str">
        <x:v>13</x:v>
      </x:c>
      <x:c r="B14" s="33" t="str">
        <x:v>Empatica EmbracePlus</x:v>
      </x:c>
      <x:c r="C14" s="33" t="str">
        <x:v>Italy / United States operations</x:v>
      </x:c>
      <x:c r="D14" s="33" t="str">
        <x:v>research watch — non-US autonomic reference</x:v>
      </x:c>
      <x:c r="E14" s="30" t="str">
        <x:v>1</x:v>
      </x:c>
      <x:c r="F14" s="30" t="str">
        <x:v>1</x:v>
      </x:c>
      <x:c r="G14" s="30" t="str">
        <x:v>1</x:v>
      </x:c>
      <x:c r="H14" s="30" t="str">
        <x:v>0</x:v>
      </x:c>
      <x:c r="I14" s="30" t="str">
        <x:v>0</x:v>
      </x:c>
      <x:c r="J14" s="30" t="str">
        <x:v>0</x:v>
      </x:c>
      <x:c r="K14" s="30" t="str">
        <x:v>0.5</x:v>
      </x:c>
      <x:c r="L14" s="30" t="str">
        <x:v>1</x:v>
      </x:c>
      <x:c r="M14" s="30" t="str">
        <x:v>1</x:v>
      </x:c>
      <x:c r="N14" s="30" t="str">
        <x:v>0.5</x:v>
      </x:c>
      <x:c r="O14" s="30" t="str">
        <x:v>1</x:v>
      </x:c>
      <x:c r="P14" s="30" t="str">
        <x:v>1</x:v>
      </x:c>
      <x:c r="Q14" s="30" t="str">
        <x:v>0.5</x:v>
      </x:c>
      <x:c r="R14" s="30" t="str">
        <x:v>1</x:v>
      </x:c>
      <x:c r="S14" s="30" t="str">
        <x:v>1</x:v>
      </x:c>
      <x:c r="T14" s="30" t="str">
        <x:v>1</x:v>
      </x:c>
      <x:c r="U14" s="26" t="str"/>
      <x:c r="V14" s="33" t="str">
        <x:v>Empatica Health Monitoring Platform; cloud API; Avro export</x:v>
      </x:c>
      <x:c r="W14" s="33" t="str">
        <x:v>No BP or ECG; near-real-time latency and plan entitlements require contract confirmation</x:v>
      </x:c>
      <x:c r="X14" s="33" t="str">
        <x:v>EMP01;EMP02;VAL03;VAL04;VAL05</x:v>
      </x:c>
      <x:c r="Y14" s="32" t="n">
        <x:f>E14*'Codebook'!$B$5+F14*'Codebook'!$B$6+G14*'Codebook'!$B$7+H14*'Codebook'!$B$8+I14*'Codebook'!$B$9+J14*'Codebook'!$B$10+K14*'Codebook'!$B$11+L14*'Codebook'!$B$12+M14*'Codebook'!$B$13+N14*'Codebook'!$B$14+O14*'Codebook'!$B$15</x:f>
        <x:v>39.5</x:v>
      </x:c>
      <x:c r="Z14" s="32" t="n">
        <x:f>P14*'Codebook'!$E$5+Q14*'Codebook'!$E$6+R14*'Codebook'!$E$7+S14*'Codebook'!$E$8+T14*'Codebook'!$E$9</x:f>
        <x:v>29</x:v>
      </x:c>
      <x:c r="AA14" s="32" t="n">
        <x:f>Y14+Z14</x:f>
        <x:v>68.5</x:v>
      </x:c>
      <x:c r="AB14" s="32" t="n">
        <x:f>AA14-$AA$2</x:f>
        <x:v>24.5</x:v>
      </x:c>
      <x:c r="AC14" s="33" t="str">
        <x:f>IF(AA14&gt;=70,"High data potential",IF(AA14&gt;=50,"Pilot potential","Comparator"))</x:f>
        <x:v>Pilot potential</x:v>
      </x:c>
      <x:c r="AD14" s="33" t="str">
        <x:v>Autonomic control</x:v>
      </x:c>
    </x:row>
    <x:row r="15" ht="50" customHeight="1">
      <x:c r="A15" s="26" t="str">
        <x:v>14</x:v>
      </x:c>
      <x:c r="B15" s="33" t="str">
        <x:v>Corsano CardioWatch 287-2</x:v>
      </x:c>
      <x:c r="C15" s="33" t="str">
        <x:v>Netherlands</x:v>
      </x:c>
      <x:c r="D15" s="33" t="str">
        <x:v>medical bracelet — non-US BP diligence</x:v>
      </x:c>
      <x:c r="E15" s="30" t="str">
        <x:v>1</x:v>
      </x:c>
      <x:c r="F15" s="30" t="str">
        <x:v>1</x:v>
      </x:c>
      <x:c r="G15" s="30" t="str">
        <x:v>1</x:v>
      </x:c>
      <x:c r="H15" s="30" t="str">
        <x:v>0.5</x:v>
      </x:c>
      <x:c r="I15" s="30" t="str">
        <x:v>1</x:v>
      </x:c>
      <x:c r="J15" s="30" t="str">
        <x:v>1</x:v>
      </x:c>
      <x:c r="K15" s="30" t="str">
        <x:v>1</x:v>
      </x:c>
      <x:c r="L15" s="30" t="str">
        <x:v>1</x:v>
      </x:c>
      <x:c r="M15" s="30" t="str">
        <x:v>1</x:v>
      </x:c>
      <x:c r="N15" s="30" t="str">
        <x:v>1</x:v>
      </x:c>
      <x:c r="O15" s="30" t="str">
        <x:v>1</x:v>
      </x:c>
      <x:c r="P15" s="30" t="str">
        <x:v>1</x:v>
      </x:c>
      <x:c r="Q15" s="30" t="str">
        <x:v>1</x:v>
      </x:c>
      <x:c r="R15" s="30" t="str">
        <x:v>1</x:v>
      </x:c>
      <x:c r="S15" s="30" t="str">
        <x:v>1</x:v>
      </x:c>
      <x:c r="T15" s="30" t="str">
        <x:v>1</x:v>
      </x:c>
      <x:c r="U15" s="26" t="str"/>
      <x:c r="V15" s="33" t="str">
        <x:v>Corsano cloud; REST API/SDK; CSV/raw export</x:v>
      </x:c>
      <x:c r="W15" s="33" t="str">
        <x:v>Prescription, region, and endpoint-specific regulatory scope must be verified; fast BP claims require independent reference validation</x:v>
      </x:c>
      <x:c r="X15" s="33" t="str">
        <x:v>COR01;COR02;COR03;COR04;REG01;BP02</x:v>
      </x:c>
      <x:c r="Y15" s="32" t="n">
        <x:f>E15*'Codebook'!$B$5+F15*'Codebook'!$B$6+G15*'Codebook'!$B$7+H15*'Codebook'!$B$8+I15*'Codebook'!$B$9+J15*'Codebook'!$B$10+K15*'Codebook'!$B$11+L15*'Codebook'!$B$12+M15*'Codebook'!$B$13+N15*'Codebook'!$B$14+O15*'Codebook'!$B$15</x:f>
        <x:v>63.5</x:v>
      </x:c>
      <x:c r="Z15" s="32" t="n">
        <x:f>P15*'Codebook'!$E$5+Q15*'Codebook'!$E$6+R15*'Codebook'!$E$7+S15*'Codebook'!$E$8+T15*'Codebook'!$E$9</x:f>
        <x:v>35</x:v>
      </x:c>
      <x:c r="AA15" s="32" t="n">
        <x:f>Y15+Z15</x:f>
        <x:v>98.5</x:v>
      </x:c>
      <x:c r="AB15" s="32" t="n">
        <x:f>AA15-$AA$2</x:f>
        <x:v>54.5</x:v>
      </x:c>
      <x:c r="AC15" s="33" t="str">
        <x:f>IF(AA15&gt;=70,"High data potential",IF(AA15&gt;=50,"Pilot potential","Comparator"))</x:f>
        <x:v>High data potential</x:v>
      </x:c>
      <x:c r="AD15" s="33" t="str">
        <x:v>Vendor diligence</x:v>
      </x:c>
    </x:row>
    <x:row r="16" ht="50" customHeight="1">
      <x:c r="A16" s="26" t="str">
        <x:v>15</x:v>
      </x:c>
      <x:c r="B16" s="33" t="str">
        <x:v>Huawei Watch D2</x:v>
      </x:c>
      <x:c r="C16" s="33" t="str">
        <x:v>China</x:v>
      </x:c>
      <x:c r="D16" s="33" t="str">
        <x:v>watch with inflatable wrist cuff — non-US BP comparator</x:v>
      </x:c>
      <x:c r="E16" s="30" t="str">
        <x:v>1</x:v>
      </x:c>
      <x:c r="F16" s="30" t="str">
        <x:v>0.5</x:v>
      </x:c>
      <x:c r="G16" s="30" t="str">
        <x:v>0</x:v>
      </x:c>
      <x:c r="H16" s="30" t="str">
        <x:v>0.5</x:v>
      </x:c>
      <x:c r="I16" s="30" t="str">
        <x:v>1</x:v>
      </x:c>
      <x:c r="J16" s="30" t="str">
        <x:v>0.5</x:v>
      </x:c>
      <x:c r="K16" s="30" t="str">
        <x:v>1</x:v>
      </x:c>
      <x:c r="L16" s="30" t="str">
        <x:v>1</x:v>
      </x:c>
      <x:c r="M16" s="30" t="str">
        <x:v>0</x:v>
      </x:c>
      <x:c r="N16" s="30" t="str">
        <x:v>0.5</x:v>
      </x:c>
      <x:c r="O16" s="30" t="str">
        <x:v>1</x:v>
      </x:c>
      <x:c r="P16" s="30" t="str">
        <x:v>1</x:v>
      </x:c>
      <x:c r="Q16" s="30" t="str">
        <x:v>0</x:v>
      </x:c>
      <x:c r="R16" s="30" t="str">
        <x:v>0</x:v>
      </x:c>
      <x:c r="S16" s="30" t="str">
        <x:v>0.5</x:v>
      </x:c>
      <x:c r="T16" s="30" t="str">
        <x:v>0.5</x:v>
      </x:c>
      <x:c r="U16" s="26" t="str">
        <x:v>6</x:v>
      </x:c>
      <x:c r="V16" s="33" t="str">
        <x:v>Huawei Health; Health Kit; cloud/account route</x:v>
      </x:c>
      <x:c r="W16" s="33" t="str">
        <x:v>ABPM is intermittent at 15–60 minute intervals, not rapid continuous BP; wear on the arm opposite venipuncture</x:v>
      </x:c>
      <x:c r="X16" s="33" t="str">
        <x:v>HUA01;HUA02;HUA04</x:v>
      </x:c>
      <x:c r="Y16" s="32" t="n">
        <x:f>E16*'Codebook'!$B$5+F16*'Codebook'!$B$6+G16*'Codebook'!$B$7+H16*'Codebook'!$B$8+I16*'Codebook'!$B$9+J16*'Codebook'!$B$10+K16*'Codebook'!$B$11+L16*'Codebook'!$B$12+M16*'Codebook'!$B$13+N16*'Codebook'!$B$14+O16*'Codebook'!$B$15</x:f>
        <x:v>34.5</x:v>
      </x:c>
      <x:c r="Z16" s="32" t="n">
        <x:f>P16*'Codebook'!$E$5+Q16*'Codebook'!$E$6+R16*'Codebook'!$E$7+S16*'Codebook'!$E$8+T16*'Codebook'!$E$9</x:f>
        <x:v>10</x:v>
      </x:c>
      <x:c r="AA16" s="32" t="n">
        <x:f>Y16+Z16</x:f>
        <x:v>44.5</x:v>
      </x:c>
      <x:c r="AB16" s="32" t="n">
        <x:f>AA16-$AA$2</x:f>
        <x:v>0.5</x:v>
      </x:c>
      <x:c r="AC16" s="33" t="str">
        <x:f>IF(AA16&gt;=70,"High data potential",IF(AA16&gt;=50,"Pilot potential","Comparator"))</x:f>
        <x:v>Comparator</x:v>
      </x:c>
      <x:c r="AD16" s="33" t="str">
        <x:v>BP comparator</x:v>
      </x:c>
    </x:row>
  </x:sheetData>
  <x:conditionalFormatting sqref="E2:T16">
    <x:cfRule type="cellIs" dxfId="0" priority="1" operator="equal">
      <x:formula>1</x:formula>
    </x:cfRule>
    <x:cfRule type="cellIs" dxfId="1" priority="2" operator="equal">
      <x:formula>0.5</x:formula>
    </x:cfRule>
    <x:cfRule type="cellIs" dxfId="2" priority="3" operator="equal">
      <x:formula>0</x:formula>
    </x:cfRule>
  </x:conditionalFormatting>
  <x:conditionalFormatting sqref="AA2:AA16">
    <x:cfRule type="dataBar" priority="4">
      <x:dataBar>
        <x:cfvo type="min"/>
        <x:cfvo type="max"/>
        <x:color rgb="FF00A7A0"/>
      </x:dataBar>
    </x:cfRule>
  </x:conditionalFormatting>
  <x:conditionalFormatting sqref="AB2:AB16">
    <x:cfRule type="colorScale" priority="5">
      <x:colorScale>
        <x:cfvo type="min"/>
        <x:cfvo type="percentile" val="50"/>
        <x:cfvo type="max"/>
        <x:color rgb="FFFCE8E6"/>
        <x:color rgb="FFF3F6F8"/>
        <x:color rgb="FFDFF3E4"/>
      </x:colorScale>
    </x:cfRule>
  </x:conditionalFormatting>
  <x:pageMargins left="0.7" right="0.7" top="0.75" bottom="0.75" header="0.3" footer="0.3"/>
  <x:tableParts count="1">
    <x:tablePart xmlns:r="http://schemas.openxmlformats.org/officeDocument/2006/relationships" r:id="Rb14e2aa4b30d408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36" hidden="0" customWidth="1"/>
    <x:col min="3" max="3" width="34" hidden="0" customWidth="1"/>
    <x:col min="4" max="4" width="21" hidden="0" customWidth="1"/>
    <x:col min="5" max="5" width="34" hidden="0" customWidth="1"/>
    <x:col min="6" max="6" width="43" hidden="0" customWidth="1"/>
    <x:col min="7" max="7" width="31" hidden="0" customWidth="1"/>
  </x:cols>
  <x:sheetData>
    <x:row r="1">
      <x:c r="A1" s="3" t="str">
        <x:v>Real-time &amp; Data Extraction Assessment</x:v>
      </x:c>
      <x:c r="B1" s="3"/>
      <x:c r="C1" s="3"/>
      <x:c r="D1" s="3"/>
      <x:c r="E1" s="3"/>
      <x:c r="F1" s="3"/>
      <x:c r="G1" s="3"/>
    </x:row>
    <x:row r="2">
      <x:c r="A2" s="3"/>
      <x:c r="B2" s="3"/>
      <x:c r="C2" s="3"/>
      <x:c r="D2" s="3"/>
      <x:c r="E2" s="3"/>
      <x:c r="F2" s="3"/>
      <x:c r="G2" s="3"/>
    </x:row>
    <x:row r="3">
      <x:c r="A3" s="43" t="str">
        <x:v>Real-time = a study app can programmatically receive timestamped samples. A live number visible only in a vendor app is not counted.</x:v>
      </x:c>
      <x:c r="B3" s="43"/>
      <x:c r="C3" s="43"/>
      <x:c r="D3" s="43"/>
      <x:c r="E3" s="43"/>
      <x:c r="F3" s="43"/>
      <x:c r="G3" s="43"/>
    </x:row>
    <x:row r="5">
      <x:c r="A5" s="46" t="str">
        <x:v>Device</x:v>
      </x:c>
      <x:c r="B5" s="46" t="str">
        <x:v>Programmatic live path</x:v>
      </x:c>
      <x:c r="C5" s="46" t="str">
        <x:v>Raw export</x:v>
      </x:c>
      <x:c r="D5" s="46" t="str">
        <x:v>Manual export</x:v>
      </x:c>
      <x:c r="E5" s="46" t="str">
        <x:v>Typical data shape</x:v>
      </x:c>
      <x:c r="F5" s="46" t="str">
        <x:v>Primary gate</x:v>
      </x:c>
      <x:c r="G5" s="46" t="str">
        <x:v>Vitestro role</x:v>
      </x:c>
    </x:row>
    <x:row r="6" ht="52" customHeight="1">
      <x:c r="A6" s="57" t="str">
        <x:v>Apple Watch Series 11</x:v>
      </x:c>
      <x:c r="B6" s="58" t="str">
        <x:v>△ HR + motion in watchOS session</x:v>
      </x:c>
      <x:c r="C6" s="58" t="str">
        <x:v>△ Saved ECG voltage only</x:v>
      </x:c>
      <x:c r="D6" s="58" t="str">
        <x:v>✓ Health XML</x:v>
      </x:c>
      <x:c r="E6" s="58" t="str">
        <x:v>HealthKit samples; Core Motion; XML</x:v>
      </x:c>
      <x:c r="F6" s="58" t="str">
        <x:v>No raw PPG/EDA/BP</x:v>
      </x:c>
      <x:c r="G6" s="59" t="str">
        <x:v>iOS/UX baseline</x:v>
      </x:c>
    </x:row>
    <x:row r="7" ht="52" customHeight="1">
      <x:c r="A7" s="51" t="str">
        <x:v>ActiGraph LEAP</x:v>
      </x:c>
      <x:c r="B7" s="52" t="str">
        <x:v>△ Device-to-platform transfer; latency to measure</x:v>
      </x:c>
      <x:c r="C7" s="52" t="str">
        <x:v>✓ Raw PPG + motion through platform</x:v>
      </x:c>
      <x:c r="D7" s="52" t="str">
        <x:v>✓</x:v>
      </x:c>
      <x:c r="E7" s="52" t="str">
        <x:v>CentrePoint/API/ActiLife records</x:v>
      </x:c>
      <x:c r="F7" s="52" t="str">
        <x:v>Confirm live latency and enabled sensors</x:v>
      </x:c>
      <x:c r="G7" s="53" t="str">
        <x:v>Primary US wrist research</x:v>
      </x:c>
    </x:row>
    <x:row r="8" ht="52" customHeight="1">
      <x:c r="A8" s="51" t="str">
        <x:v>Biostrap Kairos</x:v>
      </x:c>
      <x:c r="B8" s="52" t="str">
        <x:v>△ Cloud live path and Bluetooth SDK by contract</x:v>
      </x:c>
      <x:c r="C8" s="52" t="str">
        <x:v>✓ Raw PPG/IBI + motion</x:v>
      </x:c>
      <x:c r="D8" s="52" t="str">
        <x:v>✓</x:v>
      </x:c>
      <x:c r="E8" s="52" t="str">
        <x:v>Raw/processed cloud data</x:v>
      </x:c>
      <x:c r="F8" s="52" t="str">
        <x:v>Contract, sample rate, and latency</x:v>
      </x:c>
      <x:c r="G8" s="53" t="str">
        <x:v>Independent US wrist research</x:v>
      </x:c>
    </x:row>
    <x:row r="9" ht="52" customHeight="1">
      <x:c r="A9" s="51" t="str">
        <x:v>VitalConnect VitalPatch RTM</x:v>
      </x:c>
      <x:c r="B9" s="52" t="str">
        <x:v>✓ Clinical platform and relay APIs</x:v>
      </x:c>
      <x:c r="C9" s="52" t="str">
        <x:v>✓ ECG/R-R and processed channels</x:v>
      </x:c>
      <x:c r="D9" s="52" t="str">
        <x:v>✓ CSV</x:v>
      </x:c>
      <x:c r="E9" s="52" t="str">
        <x:v>Continuous ECG/HR/RR/temp/posture</x:v>
      </x:c>
      <x:c r="F9" s="52" t="str">
        <x:v>Chest placement and adhesive workflow</x:v>
      </x:c>
      <x:c r="G9" s="53" t="str">
        <x:v>Clinical signal reference</x:v>
      </x:c>
    </x:row>
    <x:row r="10" ht="52" customHeight="1">
      <x:c r="A10" s="51" t="str">
        <x:v>Google Pixel Watch 4</x:v>
      </x:c>
      <x:c r="B10" s="52" t="str">
        <x:v>△ Processed HR via Wear OS Health Services</x:v>
      </x:c>
      <x:c r="C10" s="52" t="str">
        <x:v>✗</x:v>
      </x:c>
      <x:c r="D10" s="52" t="str">
        <x:v>✓ Fitbit/Google archive</x:v>
      </x:c>
      <x:c r="E10" s="52" t="str">
        <x:v>~1 Hz exercise HR; passive batches</x:v>
      </x:c>
      <x:c r="F10" s="52" t="str">
        <x:v>No raw PPG/EDA export</x:v>
      </x:c>
      <x:c r="G10" s="53" t="str">
        <x:v>Android integration comparator</x:v>
      </x:c>
    </x:row>
    <x:row r="11" ht="52" customHeight="1">
      <x:c r="A11" s="51" t="str">
        <x:v>Fitbit Sense 2</x:v>
      </x:c>
      <x:c r="B11" s="52" t="str">
        <x:v>✗ Public API is not low-latency live</x:v>
      </x:c>
      <x:c r="C11" s="52" t="str">
        <x:v>✗</x:v>
      </x:c>
      <x:c r="D11" s="52" t="str">
        <x:v>✓ CSV/archive</x:v>
      </x:c>
      <x:c r="E11" s="52" t="str">
        <x:v>Processed JSON/CSV</x:v>
      </x:c>
      <x:c r="F11" s="52" t="str">
        <x:v>Multi-user intraday approval</x:v>
      </x:c>
      <x:c r="G11" s="53" t="str">
        <x:v>Fitbit stress comparator</x:v>
      </x:c>
    </x:row>
    <x:row r="12" ht="52" customHeight="1">
      <x:c r="A12" s="51" t="str">
        <x:v>Garmin Venu 4</x:v>
      </x:c>
      <x:c r="B12" s="52" t="str">
        <x:v>△ Garmin Health SDK partner stream</x:v>
      </x:c>
      <x:c r="C12" s="52" t="str">
        <x:v>△ Processed/B2B + motion</x:v>
      </x:c>
      <x:c r="D12" s="52" t="str">
        <x:v>✓</x:v>
      </x:c>
      <x:c r="E12" s="52" t="str">
        <x:v>Partner SDK + cloud JSON/FIT</x:v>
      </x:c>
      <x:c r="F12" s="52" t="str">
        <x:v>Enterprise contract</x:v>
      </x:c>
      <x:c r="G12" s="53" t="str">
        <x:v>Long-wear processed stream</x:v>
      </x:c>
    </x:row>
    <x:row r="13" ht="52" customHeight="1">
      <x:c r="A13" s="51" t="str">
        <x:v>WHOOP MG</x:v>
      </x:c>
      <x:c r="B13" s="52" t="str">
        <x:v>✗ Public API is aggregate/post-sync</x:v>
      </x:c>
      <x:c r="C13" s="52" t="str">
        <x:v>✗</x:v>
      </x:c>
      <x:c r="D13" s="52" t="str">
        <x:v>✓ CSV</x:v>
      </x:c>
      <x:c r="E13" s="52" t="str">
        <x:v>Cycle/recovery/workout/sleep objects</x:v>
      </x:c>
      <x:c r="F13" s="52" t="str">
        <x:v>No raw optical stream</x:v>
      </x:c>
      <x:c r="G13" s="53" t="str">
        <x:v>Longitudinal baseline only</x:v>
      </x:c>
    </x:row>
    <x:row r="14" ht="52" customHeight="1">
      <x:c r="A14" s="51" t="str">
        <x:v>BioButton Rechargeable</x:v>
      </x:c>
      <x:c r="B14" s="52" t="str">
        <x:v>△ Platform transfer of resting values</x:v>
      </x:c>
      <x:c r="C14" s="52" t="str">
        <x:v>✗</x:v>
      </x:c>
      <x:c r="D14" s="52" t="str">
        <x:v>△</x:v>
      </x:c>
      <x:c r="E14" s="52" t="str">
        <x:v>Resting HR/RR/temp/activity</x:v>
      </x:c>
      <x:c r="F14" s="52" t="str">
        <x:v>HR/RR suppressed during motion</x:v>
      </x:c>
      <x:c r="G14" s="53" t="str">
        <x:v>Ward-monitoring comparator</x:v>
      </x:c>
    </x:row>
    <x:row r="15" ht="52" customHeight="1">
      <x:c r="A15" s="51" t="str">
        <x:v>Masimo W1 Medical</x:v>
      </x:c>
      <x:c r="B15" s="52" t="str">
        <x:v>△ Clinical/UI pathway; public API unconfirmed</x:v>
      </x:c>
      <x:c r="C15" s="52" t="str">
        <x:v>✗</x:v>
      </x:c>
      <x:c r="D15" s="52" t="str">
        <x:v>△</x:v>
      </x:c>
      <x:c r="E15" s="52" t="str">
        <x:v>SpO2/PR/HR/perfusion-index records</x:v>
      </x:c>
      <x:c r="F15" s="52" t="str">
        <x:v>No open raw optical stream</x:v>
      </x:c>
      <x:c r="G15" s="53" t="str">
        <x:v>Medical SpO2 comparator</x:v>
      </x:c>
    </x:row>
    <x:row r="16" ht="52" customHeight="1">
      <x:c r="A16" s="51" t="str">
        <x:v>iRhythm Zio AT</x:v>
      </x:c>
      <x:c r="B16" s="52" t="str">
        <x:v>△ Event transmissions through clinical service</x:v>
      </x:c>
      <x:c r="C16" s="52" t="str">
        <x:v>△ Contract-dependent ECG access</x:v>
      </x:c>
      <x:c r="D16" s="52" t="str">
        <x:v>△ Reports</x:v>
      </x:c>
      <x:c r="E16" s="52" t="str">
        <x:v>Continuous ECG + event transmissions</x:v>
      </x:c>
      <x:c r="F16" s="52" t="str">
        <x:v>Not an open research stream</x:v>
      </x:c>
      <x:c r="G16" s="53" t="str">
        <x:v>Cardiac comparator</x:v>
      </x:c>
    </x:row>
    <x:row r="17" ht="52" customHeight="1">
      <x:c r="A17" s="60" t="str">
        <x:v>Samsung Galaxy Watch8</x:v>
      </x:c>
      <x:c r="B17" s="61" t="str">
        <x:v>✓ Sensor SDK: PPG/IBI/EDA/temp/ACC</x:v>
      </x:c>
      <x:c r="C17" s="61" t="str">
        <x:v>✓ App-controlled raw samples</x:v>
      </x:c>
      <x:c r="D17" s="61" t="str">
        <x:v>✓ Account download</x:v>
      </x:c>
      <x:c r="E17" s="61" t="str">
        <x:v>25 Hz PPG/ACC; 1 Hz HR/IBI/EDA</x:v>
      </x:c>
      <x:c r="F17" s="61" t="str">
        <x:v>Partner approval for distribution</x:v>
      </x:c>
      <x:c r="G17" s="62" t="str">
        <x:v>Direct-evidence control</x:v>
      </x:c>
    </x:row>
    <x:row r="18" ht="52" customHeight="1">
      <x:c r="A18" s="60" t="str">
        <x:v>Empatica EmbracePlus</x:v>
      </x:c>
      <x:c r="B18" s="61" t="str">
        <x:v>△ Continuous device-to-cloud; latency to test</x:v>
      </x:c>
      <x:c r="C18" s="61" t="str">
        <x:v>✓ Avro BVP/EDA/temp/ACC/tags</x:v>
      </x:c>
      <x:c r="D18" s="61" t="str">
        <x:v>✓</x:v>
      </x:c>
      <x:c r="E18" s="61" t="str">
        <x:v>High-frequency Avro + cloud API</x:v>
      </x:c>
      <x:c r="F18" s="61" t="str">
        <x:v>Contract/plan + cloud latency</x:v>
      </x:c>
      <x:c r="G18" s="62" t="str">
        <x:v>Research autonomic reference</x:v>
      </x:c>
    </x:row>
    <x:row r="19" ht="52" customHeight="1">
      <x:c r="A19" s="60" t="str">
        <x:v>Corsano CardioWatch 287-2</x:v>
      </x:c>
      <x:c r="B19" s="61" t="str">
        <x:v>✓ Vendor real-time cloud/API/SDK</x:v>
      </x:c>
      <x:c r="C19" s="61" t="str">
        <x:v>✓ Raw G/R/IR PPG + CSV/API</x:v>
      </x:c>
      <x:c r="D19" s="61" t="str">
        <x:v>✓</x:v>
      </x:c>
      <x:c r="E19" s="61" t="str">
        <x:v>REST/SDK + raw/processed exports</x:v>
      </x:c>
      <x:c r="F19" s="61" t="str">
        <x:v>Rx/region/endpoints + independent validation</x:v>
      </x:c>
      <x:c r="G19" s="62" t="str">
        <x:v>Conditional all-in-one candidate</x:v>
      </x:c>
    </x:row>
    <x:row r="20" ht="52" customHeight="1">
      <x:c r="A20" s="63" t="str">
        <x:v>Huawei Watch D2</x:v>
      </x:c>
      <x:c r="B20" s="64" t="str">
        <x:v>✗ Public real-time path not confirmed</x:v>
      </x:c>
      <x:c r="C20" s="64" t="str">
        <x:v>✗</x:v>
      </x:c>
      <x:c r="D20" s="64" t="str">
        <x:v>△</x:v>
      </x:c>
      <x:c r="E20" s="64" t="str">
        <x:v>Huawei Health/Health Kit records</x:v>
      </x:c>
      <x:c r="F20" s="64" t="str">
        <x:v>Region + Health Kit access</x:v>
      </x:c>
      <x:c r="G20" s="65" t="str">
        <x:v>Intermittent BP comparator</x:v>
      </x:c>
    </x:row>
  </x:sheetData>
  <x:mergeCells>
    <x:mergeCell ref="A1:G2"/>
    <x:mergeCell ref="A3:G3"/>
  </x:mergeCells>
  <x:pageMargins left="0.7" right="0.7" top="0.75" bottom="0.75" header="0.3" footer="0.3"/>
  <x:tableParts count="1">
    <x:tablePart xmlns:r="http://schemas.openxmlformats.org/officeDocument/2006/relationships" r:id="R7c18d402f18348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51" hidden="0" customWidth="1"/>
    <x:col min="4" max="4" width="40" hidden="0" customWidth="1"/>
    <x:col min="5" max="5" width="39" hidden="0" customWidth="1"/>
    <x:col min="6" max="6" width="34" hidden="0" customWidth="1"/>
  </x:cols>
  <x:sheetData>
    <x:row r="1">
      <x:c r="A1" s="3" t="str">
        <x:v>Vitestro Wearable Evaluation Protocol</x:v>
      </x:c>
      <x:c r="B1" s="3"/>
      <x:c r="C1" s="3"/>
      <x:c r="D1" s="3"/>
      <x:c r="E1" s="3"/>
      <x:c r="F1" s="3"/>
    </x:row>
    <x:row r="2">
      <x:c r="A2" s="3"/>
      <x:c r="B2" s="3"/>
      <x:c r="C2" s="3"/>
      <x:c r="D2" s="3"/>
      <x:c r="E2" s="3"/>
      <x:c r="F2" s="3"/>
    </x:row>
    <x:row r="3">
      <x:c r="A3" s="68" t="str">
        <x:v>Research gate plan. Standard clinical observation and response remain authoritative; no unvalidated wearable alert may control the robot or patient care.</x:v>
      </x:c>
      <x:c r="B3" s="68"/>
      <x:c r="C3" s="68"/>
      <x:c r="D3" s="68"/>
      <x:c r="E3" s="68"/>
      <x:c r="F3" s="68"/>
    </x:row>
    <x:row r="5">
      <x:c r="A5" s="46" t="str">
        <x:v>Gate</x:v>
      </x:c>
      <x:c r="B5" s="46" t="str">
        <x:v>Objective</x:v>
      </x:c>
      <x:c r="C5" s="46" t="str">
        <x:v>Required test</x:v>
      </x:c>
      <x:c r="D5" s="46" t="str">
        <x:v>Required output</x:v>
      </x:c>
      <x:c r="E5" s="46" t="str">
        <x:v>Decision rule</x:v>
      </x:c>
      <x:c r="F5" s="46" t="str">
        <x:v>Failure disposition</x:v>
      </x:c>
    </x:row>
    <x:row r="6" ht="69" customHeight="1">
      <x:c r="A6" s="57" t="str">
        <x:v>G0 Contract &amp; ownership</x:v>
      </x:c>
      <x:c r="B6" s="58" t="str">
        <x:v>Legal right to use sample-level data for research/algorithm development</x:v>
      </x:c>
      <x:c r="C6" s="58" t="str">
        <x:v>Review DPA, license, API terms, retention, deletion and vendor-change clauses</x:v>
      </x:c>
      <x:c r="D6" s="58" t="str">
        <x:v>Signed data-rights matrix</x:v>
      </x:c>
      <x:c r="E6" s="58" t="str">
        <x:v>All required signals exportable under approved terms</x:v>
      </x:c>
      <x:c r="F6" s="59" t="str">
        <x:v>Do not procure; UI comparator only</x:v>
      </x:c>
    </x:row>
    <x:row r="7" ht="69" customHeight="1">
      <x:c r="A7" s="69" t="str">
        <x:v>G1 Interface inventory</x:v>
      </x:c>
      <x:c r="B7" s="70" t="str">
        <x:v>Prove exact device/firmware/phone/country capabilities</x:v>
      </x:c>
      <x:c r="C7" s="70" t="str">
        <x:v>Record SDK version, permissions, runtime capability query and sample payloads</x:v>
      </x:c>
      <x:c r="D7" s="70" t="str">
        <x:v>Version-locked interface dossier</x:v>
      </x:c>
      <x:c r="E7" s="70" t="str">
        <x:v>No undocumented dependency for a primary signal</x:v>
      </x:c>
      <x:c r="F7" s="71" t="str">
        <x:v>Mark blocked-by-vendor or downgrade role</x:v>
      </x:c>
    </x:row>
    <x:row r="8" ht="69" customHeight="1">
      <x:c r="A8" s="69" t="str">
        <x:v>G2 Real-time behavior</x:v>
      </x:c>
      <x:c r="B8" s="70" t="str">
        <x:v>Measure latency, batching, dropouts and clock behavior</x:v>
      </x:c>
      <x:c r="C8" s="70" t="str">
        <x:v>60-min sessions: foreground/background/lock/low-battery/BT interruption/phone call</x:v>
      </x:c>
      <x:c r="D8" s="70" t="str">
        <x:v>Latency CDF; dropout runs; timestamp map</x:v>
      </x:c>
      <x:c r="E8" s="70" t="str">
        <x:v>Predefined median/P95 latency and completeness targets met</x:v>
      </x:c>
      <x:c r="F8" s="71" t="str">
        <x:v>Historical-data role only</x:v>
      </x:c>
    </x:row>
    <x:row r="9" ht="69" customHeight="1">
      <x:c r="A9" s="69" t="str">
        <x:v>G3 Export parity</x:v>
      </x:c>
      <x:c r="B9" s="70" t="str">
        <x:v>Ensure live, cloud and manual records reconcile</x:v>
      </x:c>
      <x:c r="C9" s="70" t="str">
        <x:v>Export the same session by every supported route</x:v>
      </x:c>
      <x:c r="D9" s="70" t="str">
        <x:v>Sample-count and timestamp reconciliation</x:v>
      </x:c>
      <x:c r="E9" s="70" t="str">
        <x:v>No unexplained loss or time shift</x:v>
      </x:c>
      <x:c r="F9" s="71" t="str">
        <x:v>Block modeling until resolved</x:v>
      </x:c>
    </x:row>
    <x:row r="10" ht="69" customHeight="1">
      <x:c r="A10" s="60" t="str">
        <x:v>G4 Reference validity</x:v>
      </x:c>
      <x:c r="B10" s="61" t="str">
        <x:v>Quantify signal accuracy in Vitestro posture/workflow</x:v>
      </x:c>
      <x:c r="C10" s="61" t="str">
        <x:v>Synchronized 3-lead ECG, beat-to-beat BP, reference SpO2 when relevant</x:v>
      </x:c>
      <x:c r="D10" s="61" t="str">
        <x:v>Agreement, coverage, quality and drift report</x:v>
      </x:c>
      <x:c r="E10" s="61" t="str">
        <x:v>Pre-registered metric thresholds met</x:v>
      </x:c>
      <x:c r="F10" s="62" t="str">
        <x:v>Remove signal/device from model inputs</x:v>
      </x:c>
    </x:row>
    <x:row r="11" ht="69" customHeight="1">
      <x:c r="A11" s="60" t="str">
        <x:v>G5 Robustness</x:v>
      </x:c>
      <x:c r="B11" s="61" t="str">
        <x:v>Detect subgroup and operating-condition failures</x:v>
      </x:c>
      <x:c r="C11" s="61" t="str">
        <x:v>Motion, fit, wrist, wrist circumference, objective skin tone, perfusion and ambient-temperature strata</x:v>
      </x:c>
      <x:c r="D11" s="61" t="str">
        <x:v>Stratified error and missingness audit</x:v>
      </x:c>
      <x:c r="E11" s="61" t="str">
        <x:v>No unacceptable subgroup degradation</x:v>
      </x:c>
      <x:c r="F11" s="62" t="str">
        <x:v>Redesign sensor/placement or restrict intended use</x:v>
      </x:c>
    </x:row>
    <x:row r="12" ht="69" customHeight="1">
      <x:c r="A12" s="72" t="str">
        <x:v>G6 Clinical feasibility</x:v>
      </x:c>
      <x:c r="B12" s="73" t="str">
        <x:v>Estimate event sensitivity, false alarms and warning lead time</x:v>
      </x:c>
      <x:c r="C12" s="73" t="str">
        <x:v>Prospective blood-draw cohort with frozen labels/model and participant-level split</x:v>
      </x:c>
      <x:c r="D12" s="73" t="str">
        <x:v>Sensitivity/specificity/PPV; false alarms per procedure/hour; lead-time distribution</x:v>
      </x:c>
      <x:c r="E12" s="73" t="str">
        <x:v>Pre-registered confidence bounds met</x:v>
      </x:c>
      <x:c r="F12" s="74" t="str">
        <x:v>Research only; no patient alert</x:v>
      </x:c>
    </x:row>
    <x:row r="13" ht="69" customHeight="1">
      <x:c r="A13" s="72" t="str">
        <x:v>G7 Human factors &amp; safety</x:v>
      </x:c>
      <x:c r="B13" s="73" t="str">
        <x:v>Ensure alerts do not delay standard care or create unsafe robot actions</x:v>
      </x:c>
      <x:c r="C13" s="73" t="str">
        <x:v>Simulated-use and hazard analysis with clinicians/operators</x:v>
      </x:c>
      <x:c r="D13" s="73" t="str">
        <x:v>Use-error report and risk controls</x:v>
      </x:c>
      <x:c r="E13" s="73" t="str">
        <x:v>Residual risk acceptable and workflow approved</x:v>
      </x:c>
      <x:c r="F13" s="74" t="str">
        <x:v>No patient-facing or robot integration</x:v>
      </x:c>
    </x:row>
    <x:row r="14" ht="69" customHeight="1">
      <x:c r="A14" s="75" t="str">
        <x:v>G8 Regulatory &amp; QMS</x:v>
      </x:c>
      <x:c r="B14" s="76" t="str">
        <x:v>Align intended use, software lifecycle and vendor controls</x:v>
      </x:c>
      <x:c r="C14" s="76" t="str">
        <x:v>Regulatory classification, cybersecurity, change control, traceability and post-market plan</x:v>
      </x:c>
      <x:c r="D14" s="76" t="str">
        <x:v>Approved regulatory/quality strategy</x:v>
      </x:c>
      <x:c r="E14" s="76" t="str">
        <x:v>All launch prerequisites satisfied</x:v>
      </x:c>
      <x:c r="F14" s="77" t="str">
        <x:v>Keep as non-device research prototype</x:v>
      </x:c>
    </x:row>
  </x:sheetData>
  <x:mergeCells>
    <x:mergeCell ref="A1:F2"/>
    <x:mergeCell ref="A3:F3"/>
  </x:mergeCells>
  <x:pageMargins left="0.7" right="0.7" top="0.75" bottom="0.75" header="0.3" footer="0.3"/>
  <x:tableParts count="1">
    <x:tablePart xmlns:r="http://schemas.openxmlformats.org/officeDocument/2006/relationships" r:id="Rda8bd6225a6e404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10" hidden="0" customWidth="1"/>
    <x:col min="3" max="3" width="3" hidden="0" customWidth="1"/>
    <x:col min="4" max="4" width="27" hidden="0" customWidth="1"/>
    <x:col min="5" max="5" width="10" hidden="0" customWidth="1"/>
    <x:col min="6" max="6" width="3" hidden="0" customWidth="1"/>
    <x:col min="7" max="7" width="14" hidden="0" customWidth="1"/>
    <x:col min="8" max="8" width="43" hidden="0" customWidth="1"/>
  </x:cols>
  <x:sheetData>
    <x:row r="1">
      <x:c r="A1" s="3" t="str">
        <x:v>Vitestro Wearable Scorecard — Codebook</x:v>
      </x:c>
      <x:c r="B1" s="3"/>
      <x:c r="C1" s="3"/>
      <x:c r="D1" s="3"/>
      <x:c r="E1" s="3"/>
      <x:c r="F1" s="3"/>
      <x:c r="G1" s="3"/>
      <x:c r="H1" s="3"/>
    </x:row>
    <x:row r="2">
      <x:c r="A2" s="3"/>
      <x:c r="B2" s="3"/>
      <x:c r="C2" s="3"/>
      <x:c r="D2" s="3"/>
      <x:c r="E2" s="3"/>
      <x:c r="F2" s="3"/>
      <x:c r="G2" s="3"/>
      <x:c r="H2" s="3"/>
    </x:row>
    <x:row r="4">
      <x:c r="A4" s="6" t="str">
        <x:v>Acute sensing input</x:v>
      </x:c>
      <x:c r="B4" s="6" t="str">
        <x:v>Weight</x:v>
      </x:c>
      <x:c r="D4" s="6" t="str">
        <x:v>Data access input</x:v>
      </x:c>
      <x:c r="E4" s="6" t="str">
        <x:v>Weight</x:v>
      </x:c>
      <x:c r="G4" s="6" t="str">
        <x:v>Encoded value</x:v>
      </x:c>
      <x:c r="H4" s="6" t="str">
        <x:v>Displayed symbol</x:v>
      </x:c>
    </x:row>
    <x:row r="5">
      <x:c r="A5" s="7" t="str">
        <x:v>HR</x:v>
      </x:c>
      <x:c r="B5" s="8" t="n">
        <x:v>5</x:v>
      </x:c>
      <x:c r="D5" s="7" t="str">
        <x:v>Background recording</x:v>
      </x:c>
      <x:c r="E5" s="8" t="n">
        <x:v>5</x:v>
      </x:c>
      <x:c r="G5" s="7" t="n">
        <x:v>1</x:v>
      </x:c>
      <x:c r="H5" s="8" t="str">
        <x:v>✓ Supported in a relevant mode</x:v>
      </x:c>
    </x:row>
    <x:row r="6">
      <x:c r="A6" s="9" t="str">
        <x:v>IBI / HRV</x:v>
      </x:c>
      <x:c r="B6" s="10" t="n">
        <x:v>7</x:v>
      </x:c>
      <x:c r="D6" s="9" t="str">
        <x:v>Live programmatic stream</x:v>
      </x:c>
      <x:c r="E6" s="10" t="n">
        <x:v>12</x:v>
      </x:c>
      <x:c r="G6" s="9" t="n">
        <x:v>0.5</x:v>
      </x:c>
      <x:c r="H6" s="10" t="str">
        <x:v>△ Conditional / spot / night / derived / gated</x:v>
      </x:c>
    </x:row>
    <x:row r="7">
      <x:c r="A7" s="9" t="str">
        <x:v>Raw PPG / BVP</x:v>
      </x:c>
      <x:c r="B7" s="10" t="n">
        <x:v>10</x:v>
      </x:c>
      <x:c r="D7" s="9" t="str">
        <x:v>Raw waveform export</x:v>
      </x:c>
      <x:c r="E7" s="10" t="n">
        <x:v>8</x:v>
      </x:c>
      <x:c r="G7" s="11" t="n">
        <x:v>0</x:v>
      </x:c>
      <x:c r="H7" s="12" t="str">
        <x:v>✗ Not confirmed in public documentation</x:v>
      </x:c>
    </x:row>
    <x:row r="8">
      <x:c r="A8" s="9" t="str">
        <x:v>ECG</x:v>
      </x:c>
      <x:c r="B8" s="10" t="n">
        <x:v>3</x:v>
      </x:c>
      <x:c r="D8" s="9" t="str">
        <x:v>API / SDK</x:v>
      </x:c>
      <x:c r="E8" s="10" t="n">
        <x:v>7</x:v>
      </x:c>
    </x:row>
    <x:row r="9">
      <x:c r="A9" s="9" t="str">
        <x:v>Actual BP</x:v>
      </x:c>
      <x:c r="B9" s="10" t="n">
        <x:v>5</x:v>
      </x:c>
      <x:c r="D9" s="11" t="str">
        <x:v>Manual export</x:v>
      </x:c>
      <x:c r="E9" s="12" t="n">
        <x:v>3</x:v>
      </x:c>
    </x:row>
    <x:row r="10">
      <x:c r="A10" s="9" t="str">
        <x:v>Continuous BP</x:v>
      </x:c>
      <x:c r="B10" s="10" t="n">
        <x:v>15</x:v>
      </x:c>
    </x:row>
    <x:row r="11">
      <x:c r="A11" s="9" t="str">
        <x:v>SpO2</x:v>
      </x:c>
      <x:c r="B11" s="10" t="n">
        <x:v>3</x:v>
      </x:c>
    </x:row>
    <x:row r="12">
      <x:c r="A12" s="9" t="str">
        <x:v>Skin temperature</x:v>
      </x:c>
      <x:c r="B12" s="10" t="n">
        <x:v>3</x:v>
      </x:c>
    </x:row>
    <x:row r="13">
      <x:c r="A13" s="9" t="str">
        <x:v>EDA</x:v>
      </x:c>
      <x:c r="B13" s="10" t="n">
        <x:v>7</x:v>
      </x:c>
    </x:row>
    <x:row r="14">
      <x:c r="A14" s="9" t="str">
        <x:v>Respiration</x:v>
      </x:c>
      <x:c r="B14" s="10" t="n">
        <x:v>2</x:v>
      </x:c>
    </x:row>
    <x:row r="15">
      <x:c r="A15" s="11" t="str">
        <x:v>Motion / posture</x:v>
      </x:c>
      <x:c r="B15" s="12" t="n">
        <x:v>5</x:v>
      </x:c>
    </x:row>
    <x:row r="18">
      <x:c r="A18" s="6" t="str">
        <x:v>Scoring boundary</x:v>
      </x:c>
      <x:c r="B18" s="6"/>
      <x:c r="C18" s="6"/>
      <x:c r="D18" s="6"/>
      <x:c r="E18" s="6"/>
      <x:c r="F18" s="6"/>
      <x:c r="G18" s="6"/>
      <x:c r="H18" s="6"/>
    </x:row>
    <x:row r="19">
      <x:c r="A19" s="16" t="str">
        <x:v>Capability score = 65 points for acute-sensing inputs + 35 points for data access. It is intentionally not a clinical-accuracy, regulatory-clearance, price, or procurement score. A vendor claim receives only the documented capability value; every device still requires the staged protocol. Product/API state was reviewed on 2026-07-23 and can change by firmware, country, phone, contract, and OS policy.</x:v>
      </x:c>
      <x:c r="B19" s="16"/>
      <x:c r="C19" s="16"/>
      <x:c r="D19" s="16"/>
      <x:c r="E19" s="16"/>
      <x:c r="F19" s="16"/>
      <x:c r="G19" s="16"/>
      <x:c r="H19" s="16"/>
    </x:row>
    <x:row r="20">
      <x:c r="A20" s="16"/>
      <x:c r="B20" s="16"/>
      <x:c r="C20" s="16"/>
      <x:c r="D20" s="16"/>
      <x:c r="E20" s="16"/>
      <x:c r="F20" s="16"/>
      <x:c r="G20" s="16"/>
      <x:c r="H20" s="16"/>
    </x:row>
    <x:row r="21">
      <x:c r="A21" s="16"/>
      <x:c r="B21" s="16"/>
      <x:c r="C21" s="16"/>
      <x:c r="D21" s="16"/>
      <x:c r="E21" s="16"/>
      <x:c r="F21" s="16"/>
      <x:c r="G21" s="16"/>
      <x:c r="H21" s="16"/>
    </x:row>
    <x:row r="22">
      <x:c r="A22" s="16"/>
      <x:c r="B22" s="16"/>
      <x:c r="C22" s="16"/>
      <x:c r="D22" s="16"/>
      <x:c r="E22" s="16"/>
      <x:c r="F22" s="16"/>
      <x:c r="G22" s="16"/>
      <x:c r="H22" s="16"/>
    </x:row>
    <x:row r="23">
      <x:c r="A23" s="16"/>
      <x:c r="B23" s="16"/>
      <x:c r="C23" s="16"/>
      <x:c r="D23" s="16"/>
      <x:c r="E23" s="16"/>
      <x:c r="F23" s="16"/>
      <x:c r="G23" s="16"/>
      <x:c r="H23" s="16"/>
    </x:row>
    <x:row r="25">
      <x:c r="A25" s="6" t="str">
        <x:v>Interpretation</x:v>
      </x:c>
      <x:c r="B25" s="6"/>
      <x:c r="C25" s="6"/>
      <x:c r="D25" s="6"/>
      <x:c r="E25" s="6"/>
      <x:c r="F25" s="6"/>
      <x:c r="G25" s="6"/>
      <x:c r="H25" s="6"/>
    </x:row>
    <x:row r="26">
      <x:c r="A26" s="20" t="str">
        <x:v>The Apple Watch row is the comparison baseline. Delta vs Apple is a capability-score difference, not proof of superiority. Blood-pressure notifications, hypertension-risk features, and daily cuff-calibrated estimates are not coded as continuous BP. Real-time means a study app can programmatically receive samples; a live number in the vendor UI does not qualify.</x:v>
      </x:c>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2"/>
    <x:mergeCell ref="A18:H18"/>
    <x:mergeCell ref="A19:H23"/>
    <x:mergeCell ref="A25:H25"/>
    <x:mergeCell ref="A26:H3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7" hidden="0" customWidth="1"/>
    <x:col min="4" max="4" width="61" hidden="0" customWidth="1"/>
    <x:col min="5" max="5" width="27" hidden="0" customWidth="1"/>
    <x:col min="6" max="6" width="72" hidden="0" customWidth="1"/>
    <x:col min="7" max="7" width="17" hidden="0" customWidth="1"/>
    <x:col min="8" max="8" width="17" hidden="0" customWidth="1"/>
    <x:col min="9" max="9" width="13" hidden="0" customWidth="1"/>
    <x:col min="10" max="10" width="45" hidden="0" customWidth="1"/>
  </x:cols>
  <x:sheetData>
    <x:row r="1" ht="38" customHeight="1">
      <x:c r="A1" s="81" t="str">
        <x:v>source_id</x:v>
      </x:c>
      <x:c r="B1" s="81" t="str">
        <x:v>category</x:v>
      </x:c>
      <x:c r="C1" s="81" t="str">
        <x:v>entity</x:v>
      </x:c>
      <x:c r="D1" s="81" t="str">
        <x:v>claim_supported</x:v>
      </x:c>
      <x:c r="E1" s="81" t="str">
        <x:v>source_type</x:v>
      </x:c>
      <x:c r="F1" s="81" t="str">
        <x:v>url</x:v>
      </x:c>
      <x:c r="G1" s="81" t="str">
        <x:v>published_or_updated</x:v>
      </x:c>
      <x:c r="H1" s="81" t="str">
        <x:v>accessed_at</x:v>
      </x:c>
      <x:c r="I1" s="81" t="str">
        <x:v>confidence</x:v>
      </x:c>
      <x:c r="J1" s="81" t="str">
        <x:v>notes</x:v>
      </x:c>
    </x:row>
    <x:row r="2">
      <x:c r="A2" s="84" t="str">
        <x:v>CLN01</x:v>
      </x:c>
      <x:c r="B2" s="84" t="str">
        <x:v>clinical</x:v>
      </x:c>
      <x:c r="C2" s="84" t="str">
        <x:v>Blood-donation vasovagal reactions</x:v>
      </x:c>
      <x:c r="D2" s="84" t="str">
        <x:v>Younger age, first donation, smaller blood volume, lower BP, fear, and anxiety are associated with vasovagal-reaction risk</x:v>
      </x:c>
      <x:c r="E2" s="84" t="str">
        <x:v>peer-reviewed systematic review and meta-analysis</x:v>
      </x:c>
      <x:c r="F2" s="84" t="str">
        <x:v>https://pubmed.ncbi.nlm.nih.gov/39587929/</x:v>
      </x:c>
      <x:c r="G2" s="84" t="str">
        <x:v>2025</x:v>
      </x:c>
      <x:c r="H2" s="84" t="str">
        <x:v>2026-07-23</x:v>
      </x:c>
      <x:c r="I2" s="84" t="str">
        <x:v>high</x:v>
      </x:c>
      <x:c r="J2" s="84" t="str">
        <x:v>71 studies and approximately 19 million donations; risk association is not an acute detector</x:v>
      </x:c>
    </x:row>
    <x:row r="3">
      <x:c r="A3" s="84" t="str">
        <x:v>CLN02</x:v>
      </x:c>
      <x:c r="B3" s="84" t="str">
        <x:v>clinical</x:v>
      </x:c>
      <x:c r="C3" s="84" t="str">
        <x:v>Blood-donation syncope predictors</x:v>
      </x:c>
      <x:c r="D3" s="84" t="str">
        <x:v>Age, sex, blood volume, donor status, BP, HR, prior reaction, caffeine, sleep, weight, and setting recur as predictors</x:v>
      </x:c>
      <x:c r="E3" s="84" t="str">
        <x:v>peer-reviewed systematic review</x:v>
      </x:c>
      <x:c r="F3" s="84" t="str">
        <x:v>https://pubmed.ncbi.nlm.nih.gov/31276216/</x:v>
      </x:c>
      <x:c r="G3" s="84" t="str">
        <x:v>2019</x:v>
      </x:c>
      <x:c r="H3" s="84" t="str">
        <x:v>2026-07-23</x:v>
      </x:c>
      <x:c r="I3" s="84" t="str">
        <x:v>high</x:v>
      </x:c>
      <x:c r="J3" s="84" t="str">
        <x:v>Baseline risk factors should remain separate from acute sensing</x:v>
      </x:c>
    </x:row>
    <x:row r="4">
      <x:c r="A4" s="84" t="str">
        <x:v>CLN03</x:v>
      </x:c>
      <x:c r="B4" s="84" t="str">
        <x:v>clinical</x:v>
      </x:c>
      <x:c r="C4" s="84" t="str">
        <x:v>Vasovagal syncope prediction</x:v>
      </x:c>
      <x:c r="D4" s="84" t="str">
        <x:v>Joint continuous SBP and R-R trend and variability predicted tilt-induced syncope in 1155 patients</x:v>
      </x:c>
      <x:c r="E4" s="84" t="str">
        <x:v>peer-reviewed cohort and algorithm study</x:v>
      </x:c>
      <x:c r="F4" s="84" t="str">
        <x:v>https://pubmed.ncbi.nlm.nih.gov/17954394/</x:v>
      </x:c>
      <x:c r="G4" s="84" t="str">
        <x:v>2007</x:v>
      </x:c>
      <x:c r="H4" s="84" t="str">
        <x:v>2026-07-23</x:v>
      </x:c>
      <x:c r="I4" s="84" t="str">
        <x:v>high</x:v>
      </x:c>
      <x:c r="J4" s="84" t="str">
        <x:v>Reported sensitivity 95% and specificity 93%; not venipuncture validation</x:v>
      </x:c>
    </x:row>
    <x:row r="5">
      <x:c r="A5" s="84" t="str">
        <x:v>CLN04</x:v>
      </x:c>
      <x:c r="B5" s="84" t="str">
        <x:v>clinical</x:v>
      </x:c>
      <x:c r="C5" s="84" t="str">
        <x:v>Painful vascular instrumentation</x:v>
      </x:c>
      <x:c r="D5" s="84" t="str">
        <x:v>Painful intravascular instrumentation reduced orthostatic tolerance in a controlled physiology study</x:v>
      </x:c>
      <x:c r="E5" s="84" t="str">
        <x:v>peer-reviewed physiology study</x:v>
      </x:c>
      <x:c r="F5" s="84" t="str">
        <x:v>https://pubmed.ncbi.nlm.nih.gov/37589875/</x:v>
      </x:c>
      <x:c r="G5" s="84" t="str">
        <x:v>2023</x:v>
      </x:c>
      <x:c r="H5" s="84" t="str">
        <x:v>2026-07-23</x:v>
      </x:c>
      <x:c r="I5" s="84" t="str">
        <x:v>high</x:v>
      </x:c>
      <x:c r="J5" s="84" t="str">
        <x:v>Supports procedure-specific validation</x:v>
      </x:c>
    </x:row>
    <x:row r="6">
      <x:c r="A6" s="84" t="str">
        <x:v>CLN05</x:v>
      </x:c>
      <x:c r="B6" s="84" t="str">
        <x:v>clinical</x:v>
      </x:c>
      <x:c r="C6" s="84" t="str">
        <x:v>Blood and injection response</x:v>
      </x:c>
      <x:c r="D6" s="84" t="str">
        <x:v>Blood-draw and injection stimuli were evaluated with self-report, BP, and HRV</x:v>
      </x:c>
      <x:c r="E6" s="84" t="str">
        <x:v>peer-reviewed study</x:v>
      </x:c>
      <x:c r="F6" s="84" t="str">
        <x:v>https://pubmed.ncbi.nlm.nih.gov/22416882/</x:v>
      </x:c>
      <x:c r="G6" s="84" t="str">
        <x:v>2012</x:v>
      </x:c>
      <x:c r="H6" s="84" t="str">
        <x:v>2026-07-23</x:v>
      </x:c>
      <x:c r="I6" s="84" t="str">
        <x:v>medium</x:v>
      </x:c>
      <x:c r="J6" s="84" t="str">
        <x:v>Supports synchronized symptom and physiology labels</x:v>
      </x:c>
    </x:row>
    <x:row r="7">
      <x:c r="A7" s="84" t="str">
        <x:v>CLN06</x:v>
      </x:c>
      <x:c r="B7" s="84" t="str">
        <x:v>clinical</x:v>
      </x:c>
      <x:c r="C7" s="84" t="str">
        <x:v>Syncope pathophysiology</x:v>
      </x:c>
      <x:c r="D7" s="84" t="str">
        <x:v>Contemporary review describes hemodynamic and autonomic mechanisms of syncopal reactions</x:v>
      </x:c>
      <x:c r="E7" s="84" t="str">
        <x:v>peer-reviewed review</x:v>
      </x:c>
      <x:c r="F7" s="84" t="str">
        <x:v>https://pubmed.ncbi.nlm.nih.gov/39822686/</x:v>
      </x:c>
      <x:c r="G7" s="84" t="str">
        <x:v>2025</x:v>
      </x:c>
      <x:c r="H7" s="84" t="str">
        <x:v>2026-07-23</x:v>
      </x:c>
      <x:c r="I7" s="84" t="str">
        <x:v>high</x:v>
      </x:c>
      <x:c r="J7" s="84" t="str">
        <x:v>Mechanism background</x:v>
      </x:c>
    </x:row>
    <x:row r="8">
      <x:c r="A8" s="84" t="str">
        <x:v>CLN07</x:v>
      </x:c>
      <x:c r="B8" s="84" t="str">
        <x:v>clinical</x:v>
      </x:c>
      <x:c r="C8" s="84" t="str">
        <x:v>Counterpressure and hemodynamics</x:v>
      </x:c>
      <x:c r="D8" s="84" t="str">
        <x:v>SBP, DBP, MAP, HR, stroke volume, cardiac output, and resistance are relevant hemodynamic outcomes</x:v>
      </x:c>
      <x:c r="E8" s="84" t="str">
        <x:v>peer-reviewed systematic review</x:v>
      </x:c>
      <x:c r="F8" s="84" t="str">
        <x:v>https://pubmed.ncbi.nlm.nih.gov/36312294/</x:v>
      </x:c>
      <x:c r="G8" s="84" t="str">
        <x:v>2022</x:v>
      </x:c>
      <x:c r="H8" s="84" t="str">
        <x:v>2026-07-23</x:v>
      </x:c>
      <x:c r="I8" s="84" t="str">
        <x:v>high</x:v>
      </x:c>
      <x:c r="J8" s="84" t="str">
        <x:v>Supports the reference-measurement set</x:v>
      </x:c>
    </x:row>
    <x:row r="9">
      <x:c r="A9" s="84" t="str">
        <x:v>CLN08</x:v>
      </x:c>
      <x:c r="B9" s="84" t="str">
        <x:v>clinical</x:v>
      </x:c>
      <x:c r="C9" s="84" t="str">
        <x:v>Wearable PPG accuracy</x:v>
      </x:c>
      <x:c r="D9" s="84" t="str">
        <x:v>Wearable PPG accuracy and application limits vary by device and use context</x:v>
      </x:c>
      <x:c r="E9" s="84" t="str">
        <x:v>peer-reviewed scoping review</x:v>
      </x:c>
      <x:c r="F9" s="84" t="str">
        <x:v>https://pubmed.ncbi.nlm.nih.gov/36288566/</x:v>
      </x:c>
      <x:c r="G9" s="84" t="str">
        <x:v>2023</x:v>
      </x:c>
      <x:c r="H9" s="84" t="str">
        <x:v>2026-07-23</x:v>
      </x:c>
      <x:c r="I9" s="84" t="str">
        <x:v>high</x:v>
      </x:c>
      <x:c r="J9" s="84" t="str">
        <x:v>Device generation and task matter</x:v>
      </x:c>
    </x:row>
    <x:row r="10">
      <x:c r="A10" s="84" t="str">
        <x:v>CLN09</x:v>
      </x:c>
      <x:c r="B10" s="84" t="str">
        <x:v>clinical</x:v>
      </x:c>
      <x:c r="C10" s="84" t="str">
        <x:v>PRV versus HRV</x:v>
      </x:c>
      <x:c r="D10" s="84" t="str">
        <x:v>PPG-derived PRV is not automatically interchangeable with ECG-derived HRV</x:v>
      </x:c>
      <x:c r="E10" s="84" t="str">
        <x:v>peer-reviewed clinical study</x:v>
      </x:c>
      <x:c r="F10" s="84" t="str">
        <x:v>https://pubmed.ncbi.nlm.nih.gov/40809286/</x:v>
      </x:c>
      <x:c r="G10" s="84" t="str">
        <x:v>2025</x:v>
      </x:c>
      <x:c r="H10" s="84" t="str">
        <x:v>2026-07-23</x:v>
      </x:c>
      <x:c r="I10" s="84" t="str">
        <x:v>high</x:v>
      </x:c>
      <x:c r="J10" s="84" t="str">
        <x:v>931 adults; report signal source explicitly</x:v>
      </x:c>
    </x:row>
    <x:row r="11">
      <x:c r="A11" s="84" t="str">
        <x:v>CLN10</x:v>
      </x:c>
      <x:c r="B11" s="84" t="str">
        <x:v>clinical</x:v>
      </x:c>
      <x:c r="C11" s="84" t="str">
        <x:v>Hemodynamic mechanism of VVS</x:v>
      </x:c>
      <x:c r="D11" s="84" t="str">
        <x:v>Reduced stroke volume and cardioinhibition contributed to the BP decrease before tilt-induced VVS</x:v>
      </x:c>
      <x:c r="E11" s="84" t="str">
        <x:v>peer-reviewed cohort study</x:v>
      </x:c>
      <x:c r="F11" s="84" t="str">
        <x:v>https://pubmed.ncbi.nlm.nih.gov/32460687/</x:v>
      </x:c>
      <x:c r="G11" s="84" t="str">
        <x:v>2020</x:v>
      </x:c>
      <x:c r="H11" s="84" t="str">
        <x:v>2026-07-23</x:v>
      </x:c>
      <x:c r="I11" s="84" t="str">
        <x:v>high</x:v>
      </x:c>
      <x:c r="J11" s="84" t="str">
        <x:v>Continuous ECG and hemodynamics in 163 patients</x:v>
      </x:c>
    </x:row>
    <x:row r="12">
      <x:c r="A12" s="84" t="str">
        <x:v>CLN11</x:v>
      </x:c>
      <x:c r="B12" s="84" t="str">
        <x:v>clinical</x:v>
      </x:c>
      <x:c r="C12" s="84" t="str">
        <x:v>Modern ECG and BP changes in syncope</x:v>
      </x:c>
      <x:c r="D12" s="84" t="str">
        <x:v>Blood-pressure dynamics provided greater etiologic discrimination than ECG time-domain measures during tilt testing</x:v>
      </x:c>
      <x:c r="E12" s="84" t="str">
        <x:v>peer-reviewed study</x:v>
      </x:c>
      <x:c r="F12" s="84" t="str">
        <x:v>https://pubmed.ncbi.nlm.nih.gov/42245899/</x:v>
      </x:c>
      <x:c r="G12" s="84" t="str">
        <x:v>2026</x:v>
      </x:c>
      <x:c r="H12" s="84" t="str">
        <x:v>2026-07-23</x:v>
      </x:c>
      <x:c r="I12" s="84" t="str">
        <x:v>medium</x:v>
      </x:c>
      <x:c r="J12" s="84" t="str">
        <x:v>Recent study; not venipuncture-specific</x:v>
      </x:c>
    </x:row>
    <x:row r="13">
      <x:c r="A13" s="84" t="str">
        <x:v>CLN12</x:v>
      </x:c>
      <x:c r="B13" s="84" t="str">
        <x:v>clinical</x:v>
      </x:c>
      <x:c r="C13" s="84" t="str">
        <x:v>HRV and VVS risk</x:v>
      </x:c>
      <x:c r="D13" s="84" t="str">
        <x:v>Holter-derived HR and HRV metrics showed only moderate predictive ability for VVS</x:v>
      </x:c>
      <x:c r="E13" s="84" t="str">
        <x:v>peer-reviewed retrospective study</x:v>
      </x:c>
      <x:c r="F13" s="84" t="str">
        <x:v>https://pubmed.ncbi.nlm.nih.gov/41647805/</x:v>
      </x:c>
      <x:c r="G13" s="84" t="str">
        <x:v>2025</x:v>
      </x:c>
      <x:c r="H13" s="84" t="str">
        <x:v>2026-07-23</x:v>
      </x:c>
      <x:c r="I13" s="84" t="str">
        <x:v>medium</x:v>
      </x:c>
      <x:c r="J13" s="84" t="str">
        <x:v>Supports multimodal rather than HRV-only design</x:v>
      </x:c>
    </x:row>
    <x:row r="14">
      <x:c r="A14" s="84" t="str">
        <x:v>VVS01</x:v>
      </x:c>
      <x:c r="B14" s="84" t="str">
        <x:v>clinical</x:v>
      </x:c>
      <x:c r="C14" s="84" t="str">
        <x:v>Smartwatch PPG VVS prediction</x:v>
      </x:c>
      <x:c r="D14" s="84" t="str">
        <x:v>Galaxy Watch 6 raw 25 Hz PPG with a five-minute model window predicted HUT VVS in 132 patients</x:v>
      </x:c>
      <x:c r="E14" s="84" t="str">
        <x:v>peer-reviewed prospective machine-learning study</x:v>
      </x:c>
      <x:c r="F14" s="84" t="str">
        <x:v>https://academic.oup.com/ehjdh/article/7/4/ztag053/8586837</x:v>
      </x:c>
      <x:c r="G14" s="84" t="str">
        <x:v>2026</x:v>
      </x:c>
      <x:c r="H14" s="84" t="str">
        <x:v>2026-07-23</x:v>
      </x:c>
      <x:c r="I14" s="84" t="str">
        <x:v>high</x:v>
      </x:c>
      <x:c r="J14" s="84" t="str">
        <x:v>AUROC 0.91; specificity 0.64 at sensitivity 0.90; controlled HUT and nitroglycerin limit generalization</x:v>
      </x:c>
    </x:row>
    <x:row r="15">
      <x:c r="A15" s="84" t="str">
        <x:v>BP01</x:v>
      </x:c>
      <x:c r="B15" s="84" t="str">
        <x:v>clinical</x:v>
      </x:c>
      <x:c r="C15" s="84" t="str">
        <x:v>Wearable cuffless BP</x:v>
      </x:c>
      <x:c r="D15" s="84" t="str">
        <x:v>Earlier validation literature showed heterogeneous devices and incomplete conformity with clinical validation expectations</x:v>
      </x:c>
      <x:c r="E15" s="84" t="str">
        <x:v>peer-reviewed systematic review and meta-analysis</x:v>
      </x:c>
      <x:c r="F15" s="84" t="str">
        <x:v>https://pubmed.ncbi.nlm.nih.gov/36713001/</x:v>
      </x:c>
      <x:c r="G15" s="84" t="str">
        <x:v>2022</x:v>
      </x:c>
      <x:c r="H15" s="84" t="str">
        <x:v>2026-07-23</x:v>
      </x:c>
      <x:c r="I15" s="84" t="str">
        <x:v>high</x:v>
      </x:c>
      <x:c r="J15" s="84" t="str">
        <x:v>Cuffless claims require endpoint-specific validation</x:v>
      </x:c>
    </x:row>
    <x:row r="16">
      <x:c r="A16" s="84" t="str">
        <x:v>BP02</x:v>
      </x:c>
      <x:c r="B16" s="84" t="str">
        <x:v>clinical</x:v>
      </x:c>
      <x:c r="C16" s="84" t="str">
        <x:v>Continuous wearable cuffless BP</x:v>
      </x:c>
      <x:c r="D16" s="84" t="str">
        <x:v>Recent meta-analysis found remaining accuracy and comparability concerns against ambulatory BP references</x:v>
      </x:c>
      <x:c r="E16" s="84" t="str">
        <x:v>peer-reviewed systematic review and meta-analysis</x:v>
      </x:c>
      <x:c r="F16" s="84" t="str">
        <x:v>https://pubmed.ncbi.nlm.nih.gov/41321467/</x:v>
      </x:c>
      <x:c r="G16" s="84" t="str">
        <x:v>2025</x:v>
      </x:c>
      <x:c r="H16" s="84" t="str">
        <x:v>2026-07-23</x:v>
      </x:c>
      <x:c r="I16" s="84" t="str">
        <x:v>high</x:v>
      </x:c>
      <x:c r="J16" s="84" t="str">
        <x:v>Methods and calibration vary across products</x:v>
      </x:c>
    </x:row>
    <x:row r="17">
      <x:c r="A17" s="84" t="str">
        <x:v>OPT01</x:v>
      </x:c>
      <x:c r="B17" s="84" t="str">
        <x:v>clinical</x:v>
      </x:c>
      <x:c r="C17" s="84" t="str">
        <x:v>Skin pigmentation and optical sensing</x:v>
      </x:c>
      <x:c r="D17" s="84" t="str">
        <x:v>SpO2 and wearable pulse-rate accuracy must be evaluated across objective pigmentation groups</x:v>
      </x:c>
      <x:c r="E17" s="84" t="str">
        <x:v>peer-reviewed systematic review and meta-analysis</x:v>
      </x:c>
      <x:c r="F17" s="84" t="str">
        <x:v>https://pubmed.ncbi.nlm.nih.gov/39388258/</x:v>
      </x:c>
      <x:c r="G17" s="84" t="str">
        <x:v>2024</x:v>
      </x:c>
      <x:c r="H17" s="84" t="str">
        <x:v>2026-07-23</x:v>
      </x:c>
      <x:c r="I17" s="84" t="str">
        <x:v>high</x:v>
      </x:c>
      <x:c r="J17" s="84" t="str">
        <x:v>Wide pulse-rate limits of agreement and SpO2 concerns</x:v>
      </x:c>
    </x:row>
    <x:row r="18">
      <x:c r="A18" s="84" t="str">
        <x:v>OPT02</x:v>
      </x:c>
      <x:c r="B18" s="84" t="str">
        <x:v>clinical</x:v>
      </x:c>
      <x:c r="C18" s="84" t="str">
        <x:v>Skin pigmentation during exercise</x:v>
      </x:c>
      <x:c r="D18" s="84" t="str">
        <x:v>Objectively measured pigmentation was evaluated against Apple Watch and other PPG devices during rest, exercise, and recovery</x:v>
      </x:c>
      <x:c r="E18" s="84" t="str">
        <x:v>peer-reviewed validation study</x:v>
      </x:c>
      <x:c r="F18" s="84" t="str">
        <x:v>https://pubmed.ncbi.nlm.nih.gov/40968160/</x:v>
      </x:c>
      <x:c r="G18" s="84" t="str">
        <x:v>2026</x:v>
      </x:c>
      <x:c r="H18" s="84" t="str">
        <x:v>2026-07-23</x:v>
      </x:c>
      <x:c r="I18" s="84" t="str">
        <x:v>high</x:v>
      </x:c>
      <x:c r="J18" s="84" t="str">
        <x:v>Supports objective pigmentation measurement rather than race labels</x:v>
      </x:c>
    </x:row>
    <x:row r="19">
      <x:c r="A19" s="84" t="str">
        <x:v>VAL01</x:v>
      </x:c>
      <x:c r="B19" s="84" t="str">
        <x:v>validation</x:v>
      </x:c>
      <x:c r="C19" s="84" t="str">
        <x:v>Apple Watch, Polar, and Fitbit</x:v>
      </x:c>
      <x:c r="D19" s="84" t="str">
        <x:v>Apple Watch 6 produced the most accurate HR among the three devices across tested activities</x:v>
      </x:c>
      <x:c r="E19" s="84" t="str">
        <x:v>peer-reviewed validation study</x:v>
      </x:c>
      <x:c r="F19" s="84" t="str">
        <x:v>https://pubmed.ncbi.nlm.nih.gov/34957939/</x:v>
      </x:c>
      <x:c r="G19" s="84" t="str">
        <x:v>2023</x:v>
      </x:c>
      <x:c r="H19" s="84" t="str">
        <x:v>2026-07-23</x:v>
      </x:c>
      <x:c r="I19" s="84" t="str">
        <x:v>high</x:v>
      </x:c>
      <x:c r="J19" s="84" t="str">
        <x:v>Older generations and exercise tasks; energy expenditure was poor</x:v>
      </x:c>
    </x:row>
    <x:row r="20">
      <x:c r="A20" s="84" t="str">
        <x:v>VAL02</x:v>
      </x:c>
      <x:c r="B20" s="84" t="str">
        <x:v>validation</x:v>
      </x:c>
      <x:c r="C20" s="84" t="str">
        <x:v>Transient-state wearable HR</x:v>
      </x:c>
      <x:c r="D20" s="84" t="str">
        <x:v>Fitbit, Garmin, WHOOP, Withings, and EmbracePlus HR accuracy declined during rapid transitions</x:v>
      </x:c>
      <x:c r="E20" s="84" t="str">
        <x:v>peer-reviewed validation study</x:v>
      </x:c>
      <x:c r="F20" s="84" t="str">
        <x:v>https://pubmed.ncbi.nlm.nih.gov/41157371/</x:v>
      </x:c>
      <x:c r="G20" s="84" t="str">
        <x:v>2025</x:v>
      </x:c>
      <x:c r="H20" s="84" t="str">
        <x:v>2026-07-23</x:v>
      </x:c>
      <x:c r="I20" s="84" t="str">
        <x:v>high</x:v>
      </x:c>
      <x:c r="J20" s="84" t="str">
        <x:v>Acute changes need context-specific validation</x:v>
      </x:c>
    </x:row>
    <x:row r="21">
      <x:c r="A21" s="84" t="str">
        <x:v>VAL03</x:v>
      </x:c>
      <x:c r="B21" s="84" t="str">
        <x:v>validation</x:v>
      </x:c>
      <x:c r="C21" s="84" t="str">
        <x:v>Empatica EmbracePlus SpO2</x:v>
      </x:c>
      <x:c r="D21" s="84" t="str">
        <x:v>Controlled hypoxia study reported ARMS 2.4% and included dark-pigmentation participants</x:v>
      </x:c>
      <x:c r="E21" s="84" t="str">
        <x:v>peer-reviewed prospective validation study</x:v>
      </x:c>
      <x:c r="F21" s="84" t="str">
        <x:v>https://pubmed.ncbi.nlm.nih.gov/38111608/</x:v>
      </x:c>
      <x:c r="G21" s="84" t="str">
        <x:v>2023</x:v>
      </x:c>
      <x:c r="H21" s="84" t="str">
        <x:v>2026-07-23</x:v>
      </x:c>
      <x:c r="I21" s="84" t="str">
        <x:v>high</x:v>
      </x:c>
      <x:c r="J21" s="84" t="str">
        <x:v>No-motion and high-perfusion conditions; manufacturer-authored</x:v>
      </x:c>
    </x:row>
    <x:row r="22">
      <x:c r="A22" s="84" t="str">
        <x:v>VAL04</x:v>
      </x:c>
      <x:c r="B22" s="84" t="str">
        <x:v>validation</x:v>
      </x:c>
      <x:c r="C22" s="84" t="str">
        <x:v>Empatica continuous pulse rate</x:v>
      </x:c>
      <x:c r="D22" s="84" t="str">
        <x:v>Multicenter evaluation reported clinical-grade continuous pulse-rate performance across motion and demographic subgroups</x:v>
      </x:c>
      <x:c r="E22" s="84" t="str">
        <x:v>peer-reviewed validation study</x:v>
      </x:c>
      <x:c r="F22" s="84" t="str">
        <x:v>https://pubmed.ncbi.nlm.nih.gov/39670276/</x:v>
      </x:c>
      <x:c r="G22" s="84" t="str">
        <x:v>2024</x:v>
      </x:c>
      <x:c r="H22" s="84" t="str">
        <x:v>2026-07-23</x:v>
      </x:c>
      <x:c r="I22" s="84" t="str">
        <x:v>high</x:v>
      </x:c>
      <x:c r="J22" s="84" t="str">
        <x:v>Manufacturer conflicts disclosed</x:v>
      </x:c>
    </x:row>
    <x:row r="23">
      <x:c r="A23" s="84" t="str">
        <x:v>VAL05</x:v>
      </x:c>
      <x:c r="B23" s="84" t="str">
        <x:v>validation</x:v>
      </x:c>
      <x:c r="C23" s="84" t="str">
        <x:v>Empatica and consumer PPG</x:v>
      </x:c>
      <x:c r="D23" s="84" t="str">
        <x:v>Research-grade EmbracePlus did not uniformly outperform consumer devices across laboratory conditions</x:v>
      </x:c>
      <x:c r="E23" s="84" t="str">
        <x:v>peer-reviewed comparative validation study</x:v>
      </x:c>
      <x:c r="F23" s="84" t="str">
        <x:v>https://pubmed.ncbi.nlm.nih.gov/39905563/</x:v>
      </x:c>
      <x:c r="G23" s="84" t="str">
        <x:v>2025</x:v>
      </x:c>
      <x:c r="H23" s="84" t="str">
        <x:v>2026-07-23</x:v>
      </x:c>
      <x:c r="I23" s="84" t="str">
        <x:v>high</x:v>
      </x:c>
      <x:c r="J23" s="84" t="str">
        <x:v>Device grade does not replace use-case validation</x:v>
      </x:c>
    </x:row>
    <x:row r="24">
      <x:c r="A24" s="84" t="str">
        <x:v>VAL06</x:v>
      </x:c>
      <x:c r="B24" s="84" t="str">
        <x:v>validation</x:v>
      </x:c>
      <x:c r="C24" s="84" t="str">
        <x:v>BioButton hospital monitoring</x:v>
      </x:c>
      <x:c r="D24" s="84" t="str">
        <x:v>BioButton supported high-frequency trend monitoring in 11977 patient encounters</x:v>
      </x:c>
      <x:c r="E24" s="84" t="str">
        <x:v>peer-reviewed retrospective observational study</x:v>
      </x:c>
      <x:c r="F24" s="84" t="str">
        <x:v>https://pubmed.ncbi.nlm.nih.gov/39200889/</x:v>
      </x:c>
      <x:c r="G24" s="84" t="str">
        <x:v>2024</x:v>
      </x:c>
      <x:c r="H24" s="84" t="str">
        <x:v>2026-07-23</x:v>
      </x:c>
      <x:c r="I24" s="84" t="str">
        <x:v>high</x:v>
      </x:c>
      <x:c r="J24" s="84" t="str">
        <x:v>HR and RR are rest measures; manufacturer conflicts disclosed</x:v>
      </x:c>
    </x:row>
    <x:row r="25">
      <x:c r="A25" s="84" t="str">
        <x:v>VAL07</x:v>
      </x:c>
      <x:c r="B25" s="84" t="str">
        <x:v>validation</x:v>
      </x:c>
      <x:c r="C25" s="84" t="str">
        <x:v>VitalPatch under motion and hypoxia</x:v>
      </x:c>
      <x:c r="D25" s="84" t="str">
        <x:v>VitalPatch HR met the prespecified error limit; RR errors exceeded the limit for some movements</x:v>
      </x:c>
      <x:c r="E25" s="84" t="str">
        <x:v>peer-reviewed controlled validation study</x:v>
      </x:c>
      <x:c r="F25" s="84" t="str">
        <x:v>https://pubmed.ncbi.nlm.nih.gov/34524087/</x:v>
      </x:c>
      <x:c r="G25" s="84" t="str">
        <x:v>2021</x:v>
      </x:c>
      <x:c r="H25" s="84" t="str">
        <x:v>2026-07-23</x:v>
      </x:c>
      <x:c r="I25" s="84" t="str">
        <x:v>high</x:v>
      </x:c>
      <x:c r="J25" s="84" t="str">
        <x:v>Healthy controlled protocol</x:v>
      </x:c>
    </x:row>
    <x:row r="26">
      <x:c r="A26" s="84" t="str">
        <x:v>VAL08</x:v>
      </x:c>
      <x:c r="B26" s="84" t="str">
        <x:v>validation</x:v>
      </x:c>
      <x:c r="C26" s="84" t="str">
        <x:v>VitalPatch sensor performance</x:v>
      </x:c>
      <x:c r="D26" s="84" t="str">
        <x:v>Bench and laboratory testing reported ECG, HR, breathing-rate, temperature, posture, step, and fall-detection performance</x:v>
      </x:c>
      <x:c r="E26" s="84" t="str">
        <x:v>peer-reviewed device validation study</x:v>
      </x:c>
      <x:c r="F26" s="84" t="str">
        <x:v>https://pubmed.ncbi.nlm.nih.gov/30440706/</x:v>
      </x:c>
      <x:c r="G26" s="84" t="str">
        <x:v>2018</x:v>
      </x:c>
      <x:c r="H26" s="84" t="str">
        <x:v>2026-07-23</x:v>
      </x:c>
      <x:c r="I26" s="84" t="str">
        <x:v>high</x:v>
      </x:c>
      <x:c r="J26" s="84" t="str">
        <x:v>Stationary and laboratory conditions</x:v>
      </x:c>
    </x:row>
    <x:row r="27">
      <x:c r="A27" s="84" t="str">
        <x:v>VAL09</x:v>
      </x:c>
      <x:c r="B27" s="84" t="str">
        <x:v>validation</x:v>
      </x:c>
      <x:c r="C27" s="84" t="str">
        <x:v>ActiGraph LEAP activity</x:v>
      </x:c>
      <x:c r="D27" s="84" t="str">
        <x:v>LEAP activity measurements showed acceptable-to-excellent agreement with GT9X Link over seven days</x:v>
      </x:c>
      <x:c r="E27" s="84" t="str">
        <x:v>peer-reviewed concurrent-validation study</x:v>
      </x:c>
      <x:c r="F27" s="84" t="str">
        <x:v>https://pubmed.ncbi.nlm.nih.gov/41716605/</x:v>
      </x:c>
      <x:c r="G27" s="84" t="str">
        <x:v>2026</x:v>
      </x:c>
      <x:c r="H27" s="84" t="str">
        <x:v>2026-07-23</x:v>
      </x:c>
      <x:c r="I27" s="84" t="str">
        <x:v>high</x:v>
      </x:c>
      <x:c r="J27" s="84" t="str">
        <x:v>Validates activity, not acute PPG or presyncope</x:v>
      </x:c>
    </x:row>
    <x:row r="28">
      <x:c r="A28" s="84" t="str">
        <x:v>VAL10</x:v>
      </x:c>
      <x:c r="B28" s="84" t="str">
        <x:v>validation</x:v>
      </x:c>
      <x:c r="C28" s="84" t="str">
        <x:v>Biostrap raw PPG</x:v>
      </x:c>
      <x:c r="D28" s="84" t="str">
        <x:v>Biostrap raw PPG was used for longitudinal peripheral vasoconstriction biomarkers</x:v>
      </x:c>
      <x:c r="E28" s="84" t="str">
        <x:v>peer-reviewed feasibility and validation study</x:v>
      </x:c>
      <x:c r="F28" s="84" t="str">
        <x:v>https://pubmed.ncbi.nlm.nih.gov/41494152/</x:v>
      </x:c>
      <x:c r="G28" s="84" t="str">
        <x:v>2025</x:v>
      </x:c>
      <x:c r="H28" s="84" t="str">
        <x:v>2026-07-23</x:v>
      </x:c>
      <x:c r="I28" s="84" t="str">
        <x:v>medium</x:v>
      </x:c>
      <x:c r="J28" s="84" t="str">
        <x:v>Small sickle-cell cohort; not VVS</x:v>
      </x:c>
    </x:row>
    <x:row r="29">
      <x:c r="A29" s="84" t="str">
        <x:v>VAL11</x:v>
      </x:c>
      <x:c r="B29" s="84" t="str">
        <x:v>validation</x:v>
      </x:c>
      <x:c r="C29" s="84" t="str">
        <x:v>Masimo W1 ECG</x:v>
      </x:c>
      <x:c r="D29" s="84" t="str">
        <x:v>Spot-check W1 ECG showed high AF and normal-rhythm classification performance against 12-lead ECG</x:v>
      </x:c>
      <x:c r="E29" s="84" t="str">
        <x:v>peer-reviewed prospective diagnostic study</x:v>
      </x:c>
      <x:c r="F29" s="84" t="str">
        <x:v>https://pubmed.ncbi.nlm.nih.gov/42038677/</x:v>
      </x:c>
      <x:c r="G29" s="84" t="str">
        <x:v>2026</x:v>
      </x:c>
      <x:c r="H29" s="84" t="str">
        <x:v>2026-07-23</x:v>
      </x:c>
      <x:c r="I29" s="84" t="str">
        <x:v>high</x:v>
      </x:c>
      <x:c r="J29" s="84" t="str">
        <x:v>Rhythm classification is not presyncope prediction</x:v>
      </x:c>
    </x:row>
    <x:row r="30">
      <x:c r="A30" s="84" t="str">
        <x:v>VAL12</x:v>
      </x:c>
      <x:c r="B30" s="84" t="str">
        <x:v>validation</x:v>
      </x:c>
      <x:c r="C30" s="84" t="str">
        <x:v>Short-term PPG HRV</x:v>
      </x:c>
      <x:c r="D30" s="84" t="str">
        <x:v>Selected wrist PPG HRV indices agreed with ECG under controlled rest but entropy and short-term metrics were weaker</x:v>
      </x:c>
      <x:c r="E30" s="84" t="str">
        <x:v>peer-reviewed validation study</x:v>
      </x:c>
      <x:c r="F30" s="84" t="str">
        <x:v>https://pubmed.ncbi.nlm.nih.gov/42151374/</x:v>
      </x:c>
      <x:c r="G30" s="84" t="str">
        <x:v>2026</x:v>
      </x:c>
      <x:c r="H30" s="84" t="str">
        <x:v>2026-07-23</x:v>
      </x:c>
      <x:c r="I30" s="84" t="str">
        <x:v>high</x:v>
      </x:c>
      <x:c r="J30" s="84" t="str">
        <x:v>Reinforces metric-specific validation</x:v>
      </x:c>
    </x:row>
    <x:row r="31">
      <x:c r="A31" s="84" t="str">
        <x:v>REG01</x:v>
      </x:c>
      <x:c r="B31" s="84" t="str">
        <x:v>regulatory</x:v>
      </x:c>
      <x:c r="C31" s="84" t="str">
        <x:v>Cuffless BP</x:v>
      </x:c>
      <x:c r="D31" s="84" t="str">
        <x:v>FDA draft recommends clinical performance testing for cuffless non-invasive BP devices</x:v>
      </x:c>
      <x:c r="E31" s="84" t="str">
        <x:v>FDA draft guidance</x:v>
      </x:c>
      <x:c r="F31" s="84" t="str">
        <x:v>https://www.fda.gov/regulatory-information/search-fda-guidance-documents/cuffless-non-invasive-blood-pressure-measuring-devices-clinical-performance-testing-and-evaluation</x:v>
      </x:c>
      <x:c r="G31" s="84" t="str">
        <x:v>2026-01</x:v>
      </x:c>
      <x:c r="H31" s="84" t="str">
        <x:v>2026-07-23</x:v>
      </x:c>
      <x:c r="I31" s="84" t="str">
        <x:v>high</x:v>
      </x:c>
      <x:c r="J31" s="84" t="str">
        <x:v>Draft and nonbinding; current regulatory thinking</x:v>
      </x:c>
    </x:row>
    <x:row r="32">
      <x:c r="A32" s="84" t="str">
        <x:v>REG02</x:v>
      </x:c>
      <x:c r="B32" s="84" t="str">
        <x:v>regulatory</x:v>
      </x:c>
      <x:c r="C32" s="84" t="str">
        <x:v>Continuous cuffless BP</x:v>
      </x:c>
      <x:c r="D32" s="84" t="str">
        <x:v>Fast BP changes require a simultaneous continuous reference with appropriate time resolution</x:v>
      </x:c>
      <x:c r="E32" s="84" t="str">
        <x:v>FDA recognized-standards note</x:v>
      </x:c>
      <x:c r="F32" s="84" t="str">
        <x:v>https://www.accessdata.fda.gov/scripts/cdrh/cfdocs/cfstandards/detail.cfm?standard__identification_no=42370</x:v>
      </x:c>
      <x:c r="G32" s="84" t="str">
        <x:v>current in 2026</x:v>
      </x:c>
      <x:c r="H32" s="84" t="str">
        <x:v>2026-07-23</x:v>
      </x:c>
      <x:c r="I32" s="84" t="str">
        <x:v>high</x:v>
      </x:c>
      <x:c r="J32" s="84" t="str">
        <x:v>FDA partially recognizes IEEE 1708-2014</x:v>
      </x:c>
    </x:row>
    <x:row r="33">
      <x:c r="A33" s="84" t="str">
        <x:v>REG03</x:v>
      </x:c>
      <x:c r="B33" s="84" t="str">
        <x:v>regulatory</x:v>
      </x:c>
      <x:c r="C33" s="84" t="str">
        <x:v>Pulse oximetry</x:v>
      </x:c>
      <x:c r="D33" s="84" t="str">
        <x:v>Skin pigmentation and low perfusion can affect pulse-oximeter accuracy</x:v>
      </x:c>
      <x:c r="E33" s="84" t="str">
        <x:v>FDA regulatory-science study</x:v>
      </x:c>
      <x:c r="F33" s="84" t="str">
        <x:v>https://www.fda.gov/science-research/advancing-regulatory-science/prospective-clinical-study-pulse-oximeter-errors-adult-hospitalized-patients-varying-skin</x:v>
      </x:c>
      <x:c r="G33" s="84" t="str">
        <x:v>current</x:v>
      </x:c>
      <x:c r="H33" s="84" t="str">
        <x:v>2026-07-23</x:v>
      </x:c>
      <x:c r="I33" s="84" t="str">
        <x:v>high</x:v>
      </x:c>
      <x:c r="J33" s="84" t="str">
        <x:v>Consumer wellness SpO2 is not automatically clinical grade</x:v>
      </x:c>
    </x:row>
    <x:row r="34">
      <x:c r="A34" s="84" t="str">
        <x:v>REG04</x:v>
      </x:c>
      <x:c r="B34" s="84" t="str">
        <x:v>regulatory</x:v>
      </x:c>
      <x:c r="C34" s="84" t="str">
        <x:v>Optical wearables</x:v>
      </x:c>
      <x:c r="D34" s="84" t="str">
        <x:v>Melanin can affect biomedical optical devices including PPG wearables</x:v>
      </x:c>
      <x:c r="E34" s="84" t="str">
        <x:v>FDA science forum</x:v>
      </x:c>
      <x:c r="F34" s="84" t="str">
        <x:v>https://www.fda.gov/science-research/fda-science-forum/impact-skin-pigmentation-performance-biomedical-optics-devices</x:v>
      </x:c>
      <x:c r="G34" s="84" t="str">
        <x:v>2023</x:v>
      </x:c>
      <x:c r="H34" s="84" t="str">
        <x:v>2026-07-23</x:v>
      </x:c>
      <x:c r="I34" s="84" t="str">
        <x:v>high</x:v>
      </x:c>
      <x:c r="J34" s="84" t="str">
        <x:v>Use objective pigmentation rather than race labels</x:v>
      </x:c>
    </x:row>
    <x:row r="35">
      <x:c r="A35" s="84" t="str">
        <x:v>APL01</x:v>
      </x:c>
      <x:c r="B35" s="84" t="str">
        <x:v>product</x:v>
      </x:c>
      <x:c r="C35" s="84" t="str">
        <x:v>Apple Watch Series 11</x:v>
      </x:c>
      <x:c r="D35" s="84" t="str">
        <x:v>Electrical and optical heart sensors, blood oxygen, temperature, accelerometer, and gyroscope</x:v>
      </x:c>
      <x:c r="E35" s="84" t="str">
        <x:v>official product specifications</x:v>
      </x:c>
      <x:c r="F35" s="84" t="str">
        <x:v>https://www.apple.com/apple-watch-series-11/specs/</x:v>
      </x:c>
      <x:c r="G35" s="84" t="str">
        <x:v>2025 model</x:v>
      </x:c>
      <x:c r="H35" s="84" t="str">
        <x:v>2026-07-23</x:v>
      </x:c>
      <x:c r="I35" s="84" t="str">
        <x:v>high</x:v>
      </x:c>
      <x:c r="J35" s="84" t="str">
        <x:v>Feature and region availability can vary</x:v>
      </x:c>
    </x:row>
    <x:row r="36">
      <x:c r="A36" s="84" t="str">
        <x:v>APL02</x:v>
      </x:c>
      <x:c r="B36" s="84" t="str">
        <x:v>data</x:v>
      </x:c>
      <x:c r="C36" s="84" t="str">
        <x:v>Apple Health</x:v>
      </x:c>
      <x:c r="D36" s="84" t="str">
        <x:v>HealthKit provides authorized health-data types and application access</x:v>
      </x:c>
      <x:c r="E36" s="84" t="str">
        <x:v>official developer documentation</x:v>
      </x:c>
      <x:c r="F36" s="84" t="str">
        <x:v>https://developer.apple.com/documentation/healthkit</x:v>
      </x:c>
      <x:c r="G36" s="84" t="str">
        <x:v>current</x:v>
      </x:c>
      <x:c r="H36" s="84" t="str">
        <x:v>2026-07-23</x:v>
      </x:c>
      <x:c r="I36" s="84" t="str">
        <x:v>high</x:v>
      </x:c>
      <x:c r="J36" s="84" t="str">
        <x:v>Does not imply raw PPG access</x:v>
      </x:c>
    </x:row>
    <x:row r="37">
      <x:c r="A37" s="84" t="str">
        <x:v>APL04</x:v>
      </x:c>
      <x:c r="B37" s="84" t="str">
        <x:v>data</x:v>
      </x:c>
      <x:c r="C37" s="84" t="str">
        <x:v>Apple Health</x:v>
      </x:c>
      <x:c r="D37" s="84" t="str">
        <x:v>Users can export health and fitness data in XML</x:v>
      </x:c>
      <x:c r="E37" s="84" t="str">
        <x:v>official support</x:v>
      </x:c>
      <x:c r="F37" s="84" t="str">
        <x:v>https://support.apple.com/guide/iphone/share-your-health-data-iph5ede58c3d/26/ios/26</x:v>
      </x:c>
      <x:c r="G37" s="84" t="str">
        <x:v>iOS 26</x:v>
      </x:c>
      <x:c r="H37" s="84" t="str">
        <x:v>2026-07-23</x:v>
      </x:c>
      <x:c r="I37" s="84" t="str">
        <x:v>high</x:v>
      </x:c>
      <x:c r="J37" s="84" t="str">
        <x:v>Manual historical export</x:v>
      </x:c>
    </x:row>
    <x:row r="38">
      <x:c r="A38" s="84" t="str">
        <x:v>APL05</x:v>
      </x:c>
      <x:c r="B38" s="84" t="str">
        <x:v>product</x:v>
      </x:c>
      <x:c r="C38" s="84" t="str">
        <x:v>Apple hypertension notifications</x:v>
      </x:c>
      <x:c r="D38" s="84" t="str">
        <x:v>Feature analyzes optical-heart patterns over approximately 30 days and is not a BP measurement</x:v>
      </x:c>
      <x:c r="E38" s="84" t="str">
        <x:v>official support</x:v>
      </x:c>
      <x:c r="F38" s="84" t="str">
        <x:v>https://support.apple.com/en-ie/117296</x:v>
      </x:c>
      <x:c r="G38" s="84" t="str">
        <x:v>current</x:v>
      </x:c>
      <x:c r="H38" s="84" t="str">
        <x:v>2026-07-23</x:v>
      </x:c>
      <x:c r="I38" s="84" t="str">
        <x:v>high</x:v>
      </x:c>
      <x:c r="J38" s="84" t="str">
        <x:v>Not an acute BP stream</x:v>
      </x:c>
    </x:row>
    <x:row r="39">
      <x:c r="A39" s="84" t="str">
        <x:v>ACT01</x:v>
      </x:c>
      <x:c r="B39" s="84" t="str">
        <x:v>product</x:v>
      </x:c>
      <x:c r="C39" s="84" t="str">
        <x:v>ActiGraph LEAP</x:v>
      </x:c>
      <x:c r="D39" s="84" t="str">
        <x:v>Multiwavelength PPG, accelerometer, gyroscope, skin temperature, barometer, long storage, and listed vital-sign measures</x:v>
      </x:c>
      <x:c r="E39" s="84" t="str">
        <x:v>official product page</x:v>
      </x:c>
      <x:c r="F39" s="84" t="str">
        <x:v>https://theactigraph.com/actigraph-leap</x:v>
      </x:c>
      <x:c r="G39" s="84" t="str">
        <x:v>current</x:v>
      </x:c>
      <x:c r="H39" s="84" t="str">
        <x:v>2026-07-23</x:v>
      </x:c>
      <x:c r="I39" s="84" t="str">
        <x:v>high</x:v>
      </x:c>
      <x:c r="J39" s="84" t="str">
        <x:v>Some measures require scientific services; upper-arm BP is not a wrist signal</x:v>
      </x:c>
    </x:row>
    <x:row r="40">
      <x:c r="A40" s="84" t="str">
        <x:v>ACT02</x:v>
      </x:c>
      <x:c r="B40" s="84" t="str">
        <x:v>data</x:v>
      </x:c>
      <x:c r="C40" s="84" t="str">
        <x:v>ActiGraph LEAP</x:v>
      </x:c>
      <x:c r="D40" s="84" t="str">
        <x:v>Raw data are available through CentrePoint and the Data Access API after transfer</x:v>
      </x:c>
      <x:c r="E40" s="84" t="str">
        <x:v>official FAQ</x:v>
      </x:c>
      <x:c r="F40" s="84" t="str">
        <x:v>https://blog.theactigraph.com/blog/leap-faq</x:v>
      </x:c>
      <x:c r="G40" s="84" t="str">
        <x:v>current</x:v>
      </x:c>
      <x:c r="H40" s="84" t="str">
        <x:v>2026-07-23</x:v>
      </x:c>
      <x:c r="I40" s="84" t="str">
        <x:v>high</x:v>
      </x:c>
      <x:c r="J40" s="84" t="str">
        <x:v>Public material does not establish subsecond live latency</x:v>
      </x:c>
    </x:row>
    <x:row r="41">
      <x:c r="A41" s="84" t="str">
        <x:v>BIO01</x:v>
      </x:c>
      <x:c r="B41" s="84" t="str">
        <x:v>product</x:v>
      </x:c>
      <x:c r="C41" s="84" t="str">
        <x:v>Biostrap Kairos</x:v>
      </x:c>
      <x:c r="D41" s="84" t="str">
        <x:v>Kairos provides HR, HRV, IBI, respiration, activity, and a research-oriented optical sensor</x:v>
      </x:c>
      <x:c r="E41" s="84" t="str">
        <x:v>official product page</x:v>
      </x:c>
      <x:c r="F41" s="84" t="str">
        <x:v>https://biostrap.com/</x:v>
      </x:c>
      <x:c r="G41" s="84" t="str">
        <x:v>current</x:v>
      </x:c>
      <x:c r="H41" s="84" t="str">
        <x:v>2026-07-23</x:v>
      </x:c>
      <x:c r="I41" s="84" t="str">
        <x:v>high</x:v>
      </x:c>
      <x:c r="J41" s="84" t="str">
        <x:v>Current page does not list EDA, ECG, BP, or skin temperature</x:v>
      </x:c>
    </x:row>
    <x:row r="42">
      <x:c r="A42" s="84" t="str">
        <x:v>BIO02</x:v>
      </x:c>
      <x:c r="B42" s="84" t="str">
        <x:v>data</x:v>
      </x:c>
      <x:c r="C42" s="84" t="str">
        <x:v>Biostrap research platform</x:v>
      </x:c>
      <x:c r="D42" s="84" t="str">
        <x:v>Researchers can access raw and processed PPG, gyroscope, and accelerometer data</x:v>
      </x:c>
      <x:c r="E42" s="84" t="str">
        <x:v>official science page</x:v>
      </x:c>
      <x:c r="F42" s="84" t="str">
        <x:v>https://biostrap.com/science/</x:v>
      </x:c>
      <x:c r="G42" s="84" t="str">
        <x:v>current</x:v>
      </x:c>
      <x:c r="H42" s="84" t="str">
        <x:v>2026-07-23</x:v>
      </x:c>
      <x:c r="I42" s="84" t="str">
        <x:v>high</x:v>
      </x:c>
      <x:c r="J42" s="84" t="str">
        <x:v>Sampling configuration and latency require contract confirmation</x:v>
      </x:c>
    </x:row>
    <x:row r="43">
      <x:c r="A43" s="84" t="str">
        <x:v>BIO03</x:v>
      </x:c>
      <x:c r="B43" s="84" t="str">
        <x:v>data</x:v>
      </x:c>
      <x:c r="C43" s="84" t="str">
        <x:v>Biostrap RPM</x:v>
      </x:c>
      <x:c r="D43" s="84" t="str">
        <x:v>Live dashboard, research mode, SDK, API, and raw or processed data pathways are offered</x:v>
      </x:c>
      <x:c r="E43" s="84" t="str">
        <x:v>official platform page</x:v>
      </x:c>
      <x:c r="F43" s="84" t="str">
        <x:v>https://biostrap.com/rpm/</x:v>
      </x:c>
      <x:c r="G43" s="84" t="str">
        <x:v>current</x:v>
      </x:c>
      <x:c r="H43" s="84" t="str">
        <x:v>2026-07-23</x:v>
      </x:c>
      <x:c r="I43" s="84" t="str">
        <x:v>high</x:v>
      </x:c>
      <x:c r="J43" s="84" t="str">
        <x:v>Commercial terms and exact live semantics require diligence</x:v>
      </x:c>
    </x:row>
    <x:row r="44">
      <x:c r="A44" s="84" t="str">
        <x:v>VIT01</x:v>
      </x:c>
      <x:c r="B44" s="84" t="str">
        <x:v>product</x:v>
      </x:c>
      <x:c r="C44" s="84" t="str">
        <x:v>VitalPatch RTM</x:v>
      </x:c>
      <x:c r="D44" s="84" t="str">
        <x:v>Continuous ECG, HR, HRV, R-R, respiration, skin/body temperature, activity, posture, and fall data</x:v>
      </x:c>
      <x:c r="E44" s="84" t="str">
        <x:v>official instructions for use</x:v>
      </x:c>
      <x:c r="F44" s="84" t="str">
        <x:v>https://vitalconnect.com/docs/ifu006/RevAC/IFU-06_RevAC_VitalPatch_InstructionsforUse%28final%29.pdf</x:v>
      </x:c>
      <x:c r="G44" s="84" t="str">
        <x:v>2025-10</x:v>
      </x:c>
      <x:c r="H44" s="84" t="str">
        <x:v>2026-07-23</x:v>
      </x:c>
      <x:c r="I44" s="84" t="str">
        <x:v>high</x:v>
      </x:c>
      <x:c r="J44" s="84" t="str">
        <x:v>General-care adjunct monitor; not a standalone diagnostic or critical-care device</x:v>
      </x:c>
    </x:row>
    <x:row r="45">
      <x:c r="A45" s="84" t="str">
        <x:v>VIT02</x:v>
      </x:c>
      <x:c r="B45" s="84" t="str">
        <x:v>data</x:v>
      </x:c>
      <x:c r="C45" s="84" t="str">
        <x:v>VitalConnect platform</x:v>
      </x:c>
      <x:c r="D45" s="84" t="str">
        <x:v>VitalPatch data can flow through Relay Software Library APIs and VistaCenter supports live and historical ECG and CSV</x:v>
      </x:c>
      <x:c r="E45" s="84" t="str">
        <x:v>official platform instructions</x:v>
      </x:c>
      <x:c r="F45" s="84" t="str">
        <x:v>https://vitalconnect.com/docs/ifu027/RevY/IFU-27_RevY_VistaCenter_3.5.3%28final%29.pdf</x:v>
      </x:c>
      <x:c r="G45" s="84" t="str">
        <x:v>2026-01</x:v>
      </x:c>
      <x:c r="H45" s="84" t="str">
        <x:v>2026-07-23</x:v>
      </x:c>
      <x:c r="I45" s="84" t="str">
        <x:v>high</x:v>
      </x:c>
      <x:c r="J45" s="84" t="str">
        <x:v>Exact contracted channels vary</x:v>
      </x:c>
    </x:row>
    <x:row r="46">
      <x:c r="A46" s="84" t="str">
        <x:v>GOO01</x:v>
      </x:c>
      <x:c r="B46" s="84" t="str">
        <x:v>product</x:v>
      </x:c>
      <x:c r="C46" s="84" t="str">
        <x:v>Google Pixel Watch 4</x:v>
      </x:c>
      <x:c r="D46" s="84" t="str">
        <x:v>ECG electrodes, optical HR, accelerometer, gyroscope, cEDA, and temperature sensors</x:v>
      </x:c>
      <x:c r="E46" s="84" t="str">
        <x:v>official support</x:v>
      </x:c>
      <x:c r="F46" s="84" t="str">
        <x:v>https://support.google.com/googlepixelwatch/answer/12651869?hl=en-154</x:v>
      </x:c>
      <x:c r="G46" s="84" t="str">
        <x:v>current model</x:v>
      </x:c>
      <x:c r="H46" s="84" t="str">
        <x:v>2026-07-23</x:v>
      </x:c>
      <x:c r="I46" s="84" t="str">
        <x:v>high</x:v>
      </x:c>
      <x:c r="J46" s="84" t="str">
        <x:v>Hardware does not imply raw API access</x:v>
      </x:c>
    </x:row>
    <x:row r="47">
      <x:c r="A47" s="84" t="str">
        <x:v>GOO03</x:v>
      </x:c>
      <x:c r="B47" s="84" t="str">
        <x:v>data</x:v>
      </x:c>
      <x:c r="C47" s="84" t="str">
        <x:v>Wear OS Health Services</x:v>
      </x:c>
      <x:c r="D47" s="84" t="str">
        <x:v>Exercise HR is approximately one sample per second and passive monitoring may be batched</x:v>
      </x:c>
      <x:c r="E47" s="84" t="str">
        <x:v>official developer documentation</x:v>
      </x:c>
      <x:c r="F47" s="84" t="str">
        <x:v>https://developer.android.com/health-and-fitness/health-services/compatibility?authuser=09</x:v>
      </x:c>
      <x:c r="G47" s="84" t="str">
        <x:v>updated 2026</x:v>
      </x:c>
      <x:c r="H47" s="84" t="str">
        <x:v>2026-07-23</x:v>
      </x:c>
      <x:c r="I47" s="84" t="str">
        <x:v>high</x:v>
      </x:c>
      <x:c r="J47" s="84" t="str">
        <x:v>Processed HR rather than raw PPG</x:v>
      </x:c>
    </x:row>
    <x:row r="48">
      <x:c r="A48" s="84" t="str">
        <x:v>GOO04</x:v>
      </x:c>
      <x:c r="B48" s="84" t="str">
        <x:v>data</x:v>
      </x:c>
      <x:c r="C48" s="84" t="str">
        <x:v>Fitbit Web API</x:v>
      </x:c>
      <x:c r="D48" s="84" t="str">
        <x:v>Intraday HR supports one-second or one-minute detail with access restrictions</x:v>
      </x:c>
      <x:c r="E48" s="84" t="str">
        <x:v>official developer documentation</x:v>
      </x:c>
      <x:c r="F48" s="84" t="str">
        <x:v>https://dev.fitbit.com/build/reference/web-api/intraday/get-heartrate-intraday-by-date-range/</x:v>
      </x:c>
      <x:c r="G48" s="84" t="str">
        <x:v>current</x:v>
      </x:c>
      <x:c r="H48" s="84" t="str">
        <x:v>2026-07-23</x:v>
      </x:c>
      <x:c r="I48" s="84" t="str">
        <x:v>high</x:v>
      </x:c>
      <x:c r="J48" s="84" t="str">
        <x:v>Third-party access to other users requires approval</x:v>
      </x:c>
    </x:row>
    <x:row r="49">
      <x:c r="A49" s="84" t="str">
        <x:v>FIT01</x:v>
      </x:c>
      <x:c r="B49" s="84" t="str">
        <x:v>product</x:v>
      </x:c>
      <x:c r="C49" s="84" t="str">
        <x:v>Fitbit Sense 2</x:v>
      </x:c>
      <x:c r="D49" s="84" t="str">
        <x:v>Continuous EDA, ECG, HR, skin-temperature, and SpO2 features</x:v>
      </x:c>
      <x:c r="E49" s="84" t="str">
        <x:v>official product page</x:v>
      </x:c>
      <x:c r="F49" s="84" t="str">
        <x:v>https://store.google.com/product/fitbit_sense_2?hl=en-US</x:v>
      </x:c>
      <x:c r="G49" s="84" t="str">
        <x:v>current</x:v>
      </x:c>
      <x:c r="H49" s="84" t="str">
        <x:v>2026-07-23</x:v>
      </x:c>
      <x:c r="I49" s="84" t="str">
        <x:v>high</x:v>
      </x:c>
      <x:c r="J49" s="84" t="str">
        <x:v>Several metrics are spot or sleep based</x:v>
      </x:c>
    </x:row>
    <x:row r="50">
      <x:c r="A50" s="84" t="str">
        <x:v>FIT03</x:v>
      </x:c>
      <x:c r="B50" s="84" t="str">
        <x:v>data</x:v>
      </x:c>
      <x:c r="C50" s="84" t="str">
        <x:v>Fitbit</x:v>
      </x:c>
      <x:c r="D50" s="84" t="str">
        <x:v>Account archive and recent-data export include HR and activity</x:v>
      </x:c>
      <x:c r="E50" s="84" t="str">
        <x:v>official support</x:v>
      </x:c>
      <x:c r="F50" s="84" t="str">
        <x:v>https://support.google.com/googlehealth/answer/14236615?hl=en</x:v>
      </x:c>
      <x:c r="G50" s="84" t="str">
        <x:v>current</x:v>
      </x:c>
      <x:c r="H50" s="84" t="str">
        <x:v>2026-07-23</x:v>
      </x:c>
      <x:c r="I50" s="84" t="str">
        <x:v>high</x:v>
      </x:c>
      <x:c r="J50" s="84" t="str">
        <x:v>Historical manual export</x:v>
      </x:c>
    </x:row>
    <x:row r="51">
      <x:c r="A51" s="84" t="str">
        <x:v>FIT04</x:v>
      </x:c>
      <x:c r="B51" s="84" t="str">
        <x:v>data</x:v>
      </x:c>
      <x:c r="C51" s="84" t="str">
        <x:v>Fitbit Web API</x:v>
      </x:c>
      <x:c r="D51" s="84" t="str">
        <x:v>Processed health endpoints include intraday HR and ECG-related records</x:v>
      </x:c>
      <x:c r="E51" s="84" t="str">
        <x:v>official developer documentation</x:v>
      </x:c>
      <x:c r="F51" s="84" t="str">
        <x:v>https://dev.fitbit.com/build/reference/web-api/explore/</x:v>
      </x:c>
      <x:c r="G51" s="84" t="str">
        <x:v>current</x:v>
      </x:c>
      <x:c r="H51" s="84" t="str">
        <x:v>2026-07-23</x:v>
      </x:c>
      <x:c r="I51" s="84" t="str">
        <x:v>high</x:v>
      </x:c>
      <x:c r="J51" s="84" t="str">
        <x:v>Access scopes and review apply</x:v>
      </x:c>
    </x:row>
    <x:row r="52">
      <x:c r="A52" s="84" t="str">
        <x:v>GAR01</x:v>
      </x:c>
      <x:c r="B52" s="84" t="str">
        <x:v>product</x:v>
      </x:c>
      <x:c r="C52" s="84" t="str">
        <x:v>Garmin Venu 4</x:v>
      </x:c>
      <x:c r="D52" s="84" t="str">
        <x:v>HR, HRV, respiration, temperature, Pulse Ox, and ECG features</x:v>
      </x:c>
      <x:c r="E52" s="84" t="str">
        <x:v>official newsroom</x:v>
      </x:c>
      <x:c r="F52" s="84" t="str">
        <x:v>https://www.garmin.com/en-US/newsroom/press-release/sports-fitness/take-steps-towards-a-healthier-lifestyle-with-the-venu-4-from-garmin/</x:v>
      </x:c>
      <x:c r="G52" s="84" t="str">
        <x:v>2025 model</x:v>
      </x:c>
      <x:c r="H52" s="84" t="str">
        <x:v>2026-07-23</x:v>
      </x:c>
      <x:c r="I52" s="84" t="str">
        <x:v>high</x:v>
      </x:c>
      <x:c r="J52" s="84" t="str">
        <x:v>ECG and Pulse Ox availability vary</x:v>
      </x:c>
    </x:row>
    <x:row r="53">
      <x:c r="A53" s="84" t="str">
        <x:v>GAR03</x:v>
      </x:c>
      <x:c r="B53" s="84" t="str">
        <x:v>data</x:v>
      </x:c>
      <x:c r="C53" s="84" t="str">
        <x:v>Garmin Health SDK</x:v>
      </x:c>
      <x:c r="D53" s="84" t="str">
        <x:v>Real-time HR, beat-to-beat, accelerometer, Pulse Ox, respiration, and other processed streams</x:v>
      </x:c>
      <x:c r="E53" s="84" t="str">
        <x:v>official developer documentation</x:v>
      </x:c>
      <x:c r="F53" s="84" t="str">
        <x:v>https://developer.garmin.com/health-sdk/</x:v>
      </x:c>
      <x:c r="G53" s="84" t="str">
        <x:v>current</x:v>
      </x:c>
      <x:c r="H53" s="84" t="str">
        <x:v>2026-07-23</x:v>
      </x:c>
      <x:c r="I53" s="84" t="str">
        <x:v>high</x:v>
      </x:c>
      <x:c r="J53" s="84" t="str">
        <x:v>Enterprise partner and license conditions</x:v>
      </x:c>
    </x:row>
    <x:row r="54">
      <x:c r="A54" s="84" t="str">
        <x:v>GAR04</x:v>
      </x:c>
      <x:c r="B54" s="84" t="str">
        <x:v>data</x:v>
      </x:c>
      <x:c r="C54" s="84" t="str">
        <x:v>Garmin Health API</x:v>
      </x:c>
      <x:c r="D54" s="84" t="str">
        <x:v>Cloud JSON access to heart, stress, Pulse Ox, respiration, and beat-to-beat summaries</x:v>
      </x:c>
      <x:c r="E54" s="84" t="str">
        <x:v>official developer documentation</x:v>
      </x:c>
      <x:c r="F54" s="84" t="str">
        <x:v>https://developer.garmin.com/gc-developer-program/health-api/</x:v>
      </x:c>
      <x:c r="G54" s="84" t="str">
        <x:v>current</x:v>
      </x:c>
      <x:c r="H54" s="84" t="str">
        <x:v>2026-07-23</x:v>
      </x:c>
      <x:c r="I54" s="84" t="str">
        <x:v>high</x:v>
      </x:c>
      <x:c r="J54" s="84" t="str">
        <x:v>Post-sync API and approval requirements</x:v>
      </x:c>
    </x:row>
    <x:row r="55">
      <x:c r="A55" s="84" t="str">
        <x:v>WHO01</x:v>
      </x:c>
      <x:c r="B55" s="84" t="str">
        <x:v>product</x:v>
      </x:c>
      <x:c r="C55" s="84" t="str">
        <x:v>WHOOP MG</x:v>
      </x:c>
      <x:c r="D55" s="84" t="str">
        <x:v>24/7 HR and nightly HRV, RR, temperature, SpO2 plus on-demand ECG and BP insights</x:v>
      </x:c>
      <x:c r="E55" s="84" t="str">
        <x:v>official support</x:v>
      </x:c>
      <x:c r="F55" s="84" t="str">
        <x:v>https://support.whoop.com/s/article/Membership-Features-Benefits?language=en_US</x:v>
      </x:c>
      <x:c r="G55" s="84" t="str">
        <x:v>current</x:v>
      </x:c>
      <x:c r="H55" s="84" t="str">
        <x:v>2026-07-23</x:v>
      </x:c>
      <x:c r="I55" s="84" t="str">
        <x:v>high</x:v>
      </x:c>
      <x:c r="J55" s="84" t="str">
        <x:v>BP is a daily resting cuff-calibrated estimate</x:v>
      </x:c>
    </x:row>
    <x:row r="56">
      <x:c r="A56" s="84" t="str">
        <x:v>WHO03</x:v>
      </x:c>
      <x:c r="B56" s="84" t="str">
        <x:v>data</x:v>
      </x:c>
      <x:c r="C56" s="84" t="str">
        <x:v>WHOOP</x:v>
      </x:c>
      <x:c r="D56" s="84" t="str">
        <x:v>CSV account export includes member records</x:v>
      </x:c>
      <x:c r="E56" s="84" t="str">
        <x:v>official support</x:v>
      </x:c>
      <x:c r="F56" s="84" t="str">
        <x:v>https://support.whoop.com/s/article/How-to-Export-Your-Data</x:v>
      </x:c>
      <x:c r="G56" s="84" t="str">
        <x:v>current</x:v>
      </x:c>
      <x:c r="H56" s="84" t="str">
        <x:v>2026-07-23</x:v>
      </x:c>
      <x:c r="I56" s="84" t="str">
        <x:v>high</x:v>
      </x:c>
      <x:c r="J56" s="84" t="str">
        <x:v>Not raw continuous optical data</x:v>
      </x:c>
    </x:row>
    <x:row r="57">
      <x:c r="A57" s="84" t="str">
        <x:v>WHO04</x:v>
      </x:c>
      <x:c r="B57" s="84" t="str">
        <x:v>data</x:v>
      </x:c>
      <x:c r="C57" s="84" t="str">
        <x:v>WHOOP API</x:v>
      </x:c>
      <x:c r="D57" s="84" t="str">
        <x:v>Recovery, cycle, workout, and sleep API resources are available</x:v>
      </x:c>
      <x:c r="E57" s="84" t="str">
        <x:v>official developer documentation</x:v>
      </x:c>
      <x:c r="F57" s="84" t="str">
        <x:v>https://developer.whoop.com/api/</x:v>
      </x:c>
      <x:c r="G57" s="84" t="str">
        <x:v>current</x:v>
      </x:c>
      <x:c r="H57" s="84" t="str">
        <x:v>2026-07-23</x:v>
      </x:c>
      <x:c r="I57" s="84" t="str">
        <x:v>high</x:v>
      </x:c>
      <x:c r="J57" s="84" t="str">
        <x:v>Primarily aggregate and post-sync</x:v>
      </x:c>
    </x:row>
    <x:row r="58">
      <x:c r="A58" s="84" t="str">
        <x:v>BBT01</x:v>
      </x:c>
      <x:c r="B58" s="84" t="str">
        <x:v>product</x:v>
      </x:c>
      <x:c r="C58" s="84" t="str">
        <x:v>BioButton Rechargeable</x:v>
      </x:c>
      <x:c r="D58" s="84" t="str">
        <x:v>Collects resting HR, resting RR, skin temperature, and activity</x:v>
      </x:c>
      <x:c r="E58" s="84" t="str">
        <x:v>official solution page</x:v>
      </x:c>
      <x:c r="F58" s="84" t="str">
        <x:v>https://www.biointellisense.com/solutions/at-home-patient-monitoring/</x:v>
      </x:c>
      <x:c r="G58" s="84" t="str">
        <x:v>current</x:v>
      </x:c>
      <x:c r="H58" s="84" t="str">
        <x:v>2026-07-23</x:v>
      </x:c>
      <x:c r="I58" s="84" t="str">
        <x:v>high</x:v>
      </x:c>
      <x:c r="J58" s="84" t="str">
        <x:v>Not an acute raw waveform device</x:v>
      </x:c>
    </x:row>
    <x:row r="59">
      <x:c r="A59" s="84" t="str">
        <x:v>BBT02</x:v>
      </x:c>
      <x:c r="B59" s="84" t="str">
        <x:v>regulatory</x:v>
      </x:c>
      <x:c r="C59" s="84" t="str">
        <x:v>BioButton Rechargeable</x:v>
      </x:c>
      <x:c r="D59" s="84" t="str">
        <x:v>IFU states HR and RR are not output during motion or activity</x:v>
      </x:c>
      <x:c r="E59" s="84" t="str">
        <x:v>official instructions for use</x:v>
      </x:c>
      <x:c r="F59" s="84" t="str">
        <x:v>https://www.biointellisense.com/wp-content/uploads/2026/05/IFU-BBR-2022-Ver.6.pdf</x:v>
      </x:c>
      <x:c r="G59" s="84" t="str">
        <x:v>2026-05</x:v>
      </x:c>
      <x:c r="H59" s="84" t="str">
        <x:v>2026-07-23</x:v>
      </x:c>
      <x:c r="I59" s="84" t="str">
        <x:v>high</x:v>
      </x:c>
      <x:c r="J59" s="84" t="str">
        <x:v>Important exclusion for acute workflow use</x:v>
      </x:c>
    </x:row>
    <x:row r="60">
      <x:c r="A60" s="84" t="str">
        <x:v>MAS01</x:v>
      </x:c>
      <x:c r="B60" s="84" t="str">
        <x:v>product</x:v>
      </x:c>
      <x:c r="C60" s="84" t="str">
        <x:v>Masimo W1 Medical</x:v>
      </x:c>
      <x:c r="D60" s="84" t="str">
        <x:v>Continuous real-time SpO2, pulse rate, perfusion index, HR, steps, and approximately 24-hour operation</x:v>
      </x:c>
      <x:c r="E60" s="84" t="str">
        <x:v>official product page</x:v>
      </x:c>
      <x:c r="F60" s="84" t="str">
        <x:v>https://professional.masimo.com/products/monitors/masimo-w1-medical-watch/</x:v>
      </x:c>
      <x:c r="G60" s="84" t="str">
        <x:v>current</x:v>
      </x:c>
      <x:c r="H60" s="84" t="str">
        <x:v>2026-07-23</x:v>
      </x:c>
      <x:c r="I60" s="84" t="str">
        <x:v>high</x:v>
      </x:c>
      <x:c r="J60" s="84" t="str">
        <x:v>No public raw PPG research interface</x:v>
      </x:c>
    </x:row>
    <x:row r="61">
      <x:c r="A61" s="84" t="str">
        <x:v>ZIO01</x:v>
      </x:c>
      <x:c r="B61" s="84" t="str">
        <x:v>product</x:v>
      </x:c>
      <x:c r="C61" s="84" t="str">
        <x:v>iRhythm Zio AT</x:v>
      </x:c>
      <x:c r="D61" s="84" t="str">
        <x:v>Continuous long-term ECG recording with symptomatic and asymptomatic event transmissions</x:v>
      </x:c>
      <x:c r="E61" s="84" t="str">
        <x:v>official clinical reference manual</x:v>
      </x:c>
      <x:c r="F61" s="84" t="str">
        <x:v>https://www.irhythmtech.com/content/dam/irhythm/united-states/ifus/2026/february/ALB0031.16%20ZIO%20AT%20CLINICAL%20REFERENCE%20MANUAL%20LTE.pdf</x:v>
      </x:c>
      <x:c r="G61" s="84" t="str">
        <x:v>2026-02</x:v>
      </x:c>
      <x:c r="H61" s="84" t="str">
        <x:v>2026-07-23</x:v>
      </x:c>
      <x:c r="I61" s="84" t="str">
        <x:v>high</x:v>
      </x:c>
      <x:c r="J61" s="84" t="str">
        <x:v>Clinical service rather than open raw research stream</x:v>
      </x:c>
    </x:row>
    <x:row r="62">
      <x:c r="A62" s="84" t="str">
        <x:v>ZIO02</x:v>
      </x:c>
      <x:c r="B62" s="84" t="str">
        <x:v>product</x:v>
      </x:c>
      <x:c r="C62" s="84" t="str">
        <x:v>iRhythm Zio AT</x:v>
      </x:c>
      <x:c r="D62" s="84" t="str">
        <x:v>Wireless gateway sends ECG data for processing and clinical reporting</x:v>
      </x:c>
      <x:c r="E62" s="84" t="str">
        <x:v>official product page</x:v>
      </x:c>
      <x:c r="F62" s="84" t="str">
        <x:v>https://www.irhythmtech.com/products-services/zio-at</x:v>
      </x:c>
      <x:c r="G62" s="84" t="str">
        <x:v>current</x:v>
      </x:c>
      <x:c r="H62" s="84" t="str">
        <x:v>2026-07-23</x:v>
      </x:c>
      <x:c r="I62" s="84" t="str">
        <x:v>high</x:v>
      </x:c>
      <x:c r="J62" s="84" t="str">
        <x:v>Not intended for critical-care monitoring</x:v>
      </x:c>
    </x:row>
    <x:row r="63">
      <x:c r="A63" s="84" t="str">
        <x:v>SAM02</x:v>
      </x:c>
      <x:c r="B63" s="84" t="str">
        <x:v>data</x:v>
      </x:c>
      <x:c r="C63" s="84" t="str">
        <x:v>Samsung Health Sensor SDK</x:v>
      </x:c>
      <x:c r="D63" s="84" t="str">
        <x:v>Continuous and on-demand sensor modes include Watch8 EDA</x:v>
      </x:c>
      <x:c r="E63" s="84" t="str">
        <x:v>official developer documentation</x:v>
      </x:c>
      <x:c r="F63" s="84" t="str">
        <x:v>https://developer.samsung.com/health/sensor/guide/introduction.html</x:v>
      </x:c>
      <x:c r="G63" s="84" t="str">
        <x:v>current</x:v>
      </x:c>
      <x:c r="H63" s="84" t="str">
        <x:v>2026-07-23</x:v>
      </x:c>
      <x:c r="I63" s="84" t="str">
        <x:v>high</x:v>
      </x:c>
      <x:c r="J63" s="84" t="str">
        <x:v>Distribution partner restrictions apply</x:v>
      </x:c>
    </x:row>
    <x:row r="64">
      <x:c r="A64" s="84" t="str">
        <x:v>SAM03</x:v>
      </x:c>
      <x:c r="B64" s="84" t="str">
        <x:v>data</x:v>
      </x:c>
      <x:c r="C64" s="84" t="str">
        <x:v>Samsung Health Sensor SDK</x:v>
      </x:c>
      <x:c r="D64" s="84" t="str">
        <x:v>ACC 25 Hz, EDA 1 Hz, HR and IBI 1 Hz, raw PPG 25 Hz; ECG and SpO2 on demand</x:v>
      </x:c>
      <x:c r="E64" s="84" t="str">
        <x:v>official developer documentation</x:v>
      </x:c>
      <x:c r="F64" s="84" t="str">
        <x:v>https://developer.samsung.com/health/sensor/guide/data-specifications.html</x:v>
      </x:c>
      <x:c r="G64" s="84" t="str">
        <x:v>current</x:v>
      </x:c>
      <x:c r="H64" s="84" t="str">
        <x:v>2026-07-23</x:v>
      </x:c>
      <x:c r="I64" s="84" t="str">
        <x:v>high</x:v>
      </x:c>
      <x:c r="J64" s="84" t="str">
        <x:v>Check exact runtime capabilities</x:v>
      </x:c>
    </x:row>
    <x:row r="65">
      <x:c r="A65" s="84" t="str">
        <x:v>SAM04</x:v>
      </x:c>
      <x:c r="B65" s="84" t="str">
        <x:v>product</x:v>
      </x:c>
      <x:c r="C65" s="84" t="str">
        <x:v>Samsung BP</x:v>
      </x:c>
      <x:c r="D65" s="84" t="str">
        <x:v>BP uses cuff calibration and periodic recalibration</x:v>
      </x:c>
      <x:c r="E65" s="84" t="str">
        <x:v>official newsroom</x:v>
      </x:c>
      <x:c r="F65" s="84" t="str">
        <x:v>https://news.samsung.com/us/samsung-blood-pressure-monitoring-feature-available/</x:v>
      </x:c>
      <x:c r="G65" s="84" t="str">
        <x:v>2026</x:v>
      </x:c>
      <x:c r="H65" s="84" t="str">
        <x:v>2026-07-23</x:v>
      </x:c>
      <x:c r="I65" s="84" t="str">
        <x:v>high</x:v>
      </x:c>
      <x:c r="J65" s="84" t="str">
        <x:v>Not continuous beat-to-beat BP</x:v>
      </x:c>
    </x:row>
    <x:row r="66">
      <x:c r="A66" s="84" t="str">
        <x:v>EMP01</x:v>
      </x:c>
      <x:c r="B66" s="84" t="str">
        <x:v>product</x:v>
      </x:c>
      <x:c r="C66" s="84" t="str">
        <x:v>Empatica EmbracePlus</x:v>
      </x:c>
      <x:c r="D66" s="84" t="str">
        <x:v>EDA, four-channel PPG, accelerometer, gyroscope, temperature, event buttons, and continuous recording</x:v>
      </x:c>
      <x:c r="E66" s="84" t="str">
        <x:v>official product page</x:v>
      </x:c>
      <x:c r="F66" s="84" t="str">
        <x:v>https://www.empatica.com/en-us/embraceplus/</x:v>
      </x:c>
      <x:c r="G66" s="84" t="str">
        <x:v>current</x:v>
      </x:c>
      <x:c r="H66" s="84" t="str">
        <x:v>2026-07-23</x:v>
      </x:c>
      <x:c r="I66" s="84" t="str">
        <x:v>high</x:v>
      </x:c>
      <x:c r="J66" s="84" t="str">
        <x:v>Research and medical platform</x:v>
      </x:c>
    </x:row>
    <x:row r="67">
      <x:c r="A67" s="84" t="str">
        <x:v>EMP02</x:v>
      </x:c>
      <x:c r="B67" s="84" t="str">
        <x:v>data</x:v>
      </x:c>
      <x:c r="C67" s="84" t="str">
        <x:v>Empatica EmbracePlus</x:v>
      </x:c>
      <x:c r="D67" s="84" t="str">
        <x:v>Continuous raw BVP, EDA, temperature, accelerometer, and tags are downloadable in Avro</x:v>
      </x:c>
      <x:c r="E67" s="84" t="str">
        <x:v>official data documentation</x:v>
      </x:c>
      <x:c r="F67" s="84" t="str">
        <x:v>https://www.empatica.com/rawdata/</x:v>
      </x:c>
      <x:c r="G67" s="84" t="str">
        <x:v>current</x:v>
      </x:c>
      <x:c r="H67" s="84" t="str">
        <x:v>2026-07-23</x:v>
      </x:c>
      <x:c r="I67" s="84" t="str">
        <x:v>high</x:v>
      </x:c>
      <x:c r="J67" s="84" t="str">
        <x:v>No BP or ECG</x:v>
      </x:c>
    </x:row>
    <x:row r="68">
      <x:c r="A68" s="84" t="str">
        <x:v>COR01</x:v>
      </x:c>
      <x:c r="B68" s="84" t="str">
        <x:v>product</x:v>
      </x:c>
      <x:c r="C68" s="84" t="str">
        <x:v>Corsano CardioWatch 287-2</x:v>
      </x:c>
      <x:c r="D68" s="84" t="str">
        <x:v>Vendor claims continuous HR, RR, temperature, SpO2, cuffless BP, GSR, and raw multiwavelength PPG</x:v>
      </x:c>
      <x:c r="E68" s="84" t="str">
        <x:v>official product page</x:v>
      </x:c>
      <x:c r="F68" s="84" t="str">
        <x:v>https://corsano.com/products/bracelet-2/</x:v>
      </x:c>
      <x:c r="G68" s="84" t="str">
        <x:v>current</x:v>
      </x:c>
      <x:c r="H68" s="84" t="str">
        <x:v>2026-07-23</x:v>
      </x:c>
      <x:c r="I68" s="84" t="str">
        <x:v>medium</x:v>
      </x:c>
      <x:c r="J68" s="84" t="str">
        <x:v>Endpoint configuration and regulatory scope require confirmation</x:v>
      </x:c>
    </x:row>
    <x:row r="69">
      <x:c r="A69" s="84" t="str">
        <x:v>COR02</x:v>
      </x:c>
      <x:c r="B69" s="84" t="str">
        <x:v>data</x:v>
      </x:c>
      <x:c r="C69" s="84" t="str">
        <x:v>Corsano</x:v>
      </x:c>
      <x:c r="D69" s="84" t="str">
        <x:v>Raw PPG is available in CSV export</x:v>
      </x:c>
      <x:c r="E69" s="84" t="str">
        <x:v>official knowledge base</x:v>
      </x:c>
      <x:c r="F69" s="84" t="str">
        <x:v>https://corsano.com/knowledge-base/content-of-exported-data-file/</x:v>
      </x:c>
      <x:c r="G69" s="84" t="str">
        <x:v>current</x:v>
      </x:c>
      <x:c r="H69" s="84" t="str">
        <x:v>2026-07-23</x:v>
      </x:c>
      <x:c r="I69" s="84" t="str">
        <x:v>high</x:v>
      </x:c>
      <x:c r="J69" s="84" t="str">
        <x:v>Confirm exact firmware and schema</x:v>
      </x:c>
    </x:row>
    <x:row r="70">
      <x:c r="A70" s="84" t="str">
        <x:v>COR03</x:v>
      </x:c>
      <x:c r="B70" s="84" t="str">
        <x:v>data</x:v>
      </x:c>
      <x:c r="C70" s="84" t="str">
        <x:v>Corsano API</x:v>
      </x:c>
      <x:c r="D70" s="84" t="str">
        <x:v>REST and integration API routes include latest values and raw signals</x:v>
      </x:c>
      <x:c r="E70" s="84" t="str">
        <x:v>official developer FAQ</x:v>
      </x:c>
      <x:c r="F70" s="84" t="str">
        <x:v>https://developer.corsano.com/rest/faq/</x:v>
      </x:c>
      <x:c r="G70" s="84" t="str">
        <x:v>current</x:v>
      </x:c>
      <x:c r="H70" s="84" t="str">
        <x:v>2026-07-23</x:v>
      </x:c>
      <x:c r="I70" s="84" t="str">
        <x:v>medium</x:v>
      </x:c>
      <x:c r="J70" s="84" t="str">
        <x:v>Obtain sample payloads and measured latency</x:v>
      </x:c>
    </x:row>
    <x:row r="71">
      <x:c r="A71" s="84" t="str">
        <x:v>COR04</x:v>
      </x:c>
      <x:c r="B71" s="84" t="str">
        <x:v>regulatory</x:v>
      </x:c>
      <x:c r="C71" s="84" t="str">
        <x:v>Corsano CardioWatch 287-2</x:v>
      </x:c>
      <x:c r="D71" s="84" t="str">
        <x:v>Current IFU defines warnings and intended-use boundaries</x:v>
      </x:c>
      <x:c r="E71" s="84" t="str">
        <x:v>official instructions for use</x:v>
      </x:c>
      <x:c r="F71" s="84" t="str">
        <x:v>https://corsano.com/wp-content/uploads/2026/03/EN-IFU-Corsano-CardioWatch-287-2-HCP_v6.pdf</x:v>
      </x:c>
      <x:c r="G71" s="84" t="str">
        <x:v>2026-03</x:v>
      </x:c>
      <x:c r="H71" s="84" t="str">
        <x:v>2026-07-23</x:v>
      </x:c>
      <x:c r="I71" s="84" t="str">
        <x:v>high</x:v>
      </x:c>
      <x:c r="J71" s="84" t="str">
        <x:v>Use labeling and FDA databases rather than marketing alone</x:v>
      </x:c>
    </x:row>
    <x:row r="72">
      <x:c r="A72" s="84" t="str">
        <x:v>HUA01</x:v>
      </x:c>
      <x:c r="B72" s="84" t="str">
        <x:v>product</x:v>
      </x:c>
      <x:c r="C72" s="84" t="str">
        <x:v>Huawei Watch D2</x:v>
      </x:c>
      <x:c r="D72" s="84" t="str">
        <x:v>Inflatable wrist cuff, oscillometric BP and ABPM, ECG, and PPG features</x:v>
      </x:c>
      <x:c r="E72" s="84" t="str">
        <x:v>official product page</x:v>
      </x:c>
      <x:c r="F72" s="84" t="str">
        <x:v>https://consumer.huawei.com/uk/wearables/watch-d2/</x:v>
      </x:c>
      <x:c r="G72" s="84" t="str">
        <x:v>current</x:v>
      </x:c>
      <x:c r="H72" s="84" t="str">
        <x:v>2026-07-23</x:v>
      </x:c>
      <x:c r="I72" s="84" t="str">
        <x:v>high</x:v>
      </x:c>
      <x:c r="J72" s="84" t="str">
        <x:v>Region-specific product information</x:v>
      </x:c>
    </x:row>
    <x:row r="73">
      <x:c r="A73" s="84" t="str">
        <x:v>HUA02</x:v>
      </x:c>
      <x:c r="B73" s="84" t="str">
        <x:v>product</x:v>
      </x:c>
      <x:c r="C73" s="84" t="str">
        <x:v>Huawei Watch D2</x:v>
      </x:c>
      <x:c r="D73" s="84" t="str">
        <x:v>ABPM intervals are 15 to 60 minutes and venous-access cautions apply</x:v>
      </x:c>
      <x:c r="E73" s="84" t="str">
        <x:v>official product detail</x:v>
      </x:c>
      <x:c r="F73" s="84" t="str">
        <x:v>https://consumer.huawei.com/uk/wearables/watch-d2/?progId=304856</x:v>
      </x:c>
      <x:c r="G73" s="84" t="str">
        <x:v>current</x:v>
      </x:c>
      <x:c r="H73" s="84" t="str">
        <x:v>2026-07-23</x:v>
      </x:c>
      <x:c r="I73" s="84" t="str">
        <x:v>high</x:v>
      </x:c>
      <x:c r="J73" s="84" t="str">
        <x:v>Not a rapid continuous BP stream; use opposite the venipuncture arm</x:v>
      </x:c>
    </x:row>
    <x:row r="74">
      <x:c r="A74" s="84" t="str">
        <x:v>HUA04</x:v>
      </x:c>
      <x:c r="B74" s="84" t="str">
        <x:v>data</x:v>
      </x:c>
      <x:c r="C74" s="84" t="str">
        <x:v>Huawei Health Kit</x:v>
      </x:c>
      <x:c r="D74" s="84" t="str">
        <x:v>Health Kit is an authorized health-data integration platform</x:v>
      </x:c>
      <x:c r="E74" s="84" t="str">
        <x:v>official developer page</x:v>
      </x:c>
      <x:c r="F74" s="84" t="str">
        <x:v>https://developer.huawei.com/consumer/de/hms/huaweihealth/</x:v>
      </x:c>
      <x:c r="G74" s="84" t="str">
        <x:v>current</x:v>
      </x:c>
      <x:c r="H74" s="84" t="str">
        <x:v>2026-07-23</x:v>
      </x:c>
      <x:c r="I74" s="84" t="str">
        <x:v>medium</x:v>
      </x:c>
      <x:c r="J74" s="84" t="str">
        <x:v>Exact D2 fields, region, latency, and approval need confirmation</x:v>
      </x:c>
    </x:row>
  </x:sheetData>
  <x:pageMargins left="0.7" right="0.7" top="0.75" bottom="0.75" header="0.3" footer="0.3"/>
  <x:tableParts count="1">
    <x:tablePart xmlns:r="http://schemas.openxmlformats.org/officeDocument/2006/relationships" r:id="Ra99d70a493754b82"/>
  </x:tableParts>
</x:worksheet>
</file>