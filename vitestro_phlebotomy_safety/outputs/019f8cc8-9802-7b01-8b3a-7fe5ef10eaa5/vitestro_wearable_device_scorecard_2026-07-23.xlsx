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6725a9d1ef4a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8fcf294d4708480d"/>
    <x:sheet xmlns:r="http://schemas.openxmlformats.org/officeDocument/2006/relationships" name="Feature Matrix" sheetId="2" r:id="Raa4dfec9730e4f0a"/>
    <x:sheet xmlns:r="http://schemas.openxmlformats.org/officeDocument/2006/relationships" name="Data Access" sheetId="3" r:id="Rfe1fd4b305304891"/>
    <x:sheet xmlns:r="http://schemas.openxmlformats.org/officeDocument/2006/relationships" name="Signal Evidence" sheetId="4" r:id="R7be968c0962a4c56"/>
    <x:sheet xmlns:r="http://schemas.openxmlformats.org/officeDocument/2006/relationships" name="Evaluation Protocol" sheetId="5" r:id="Rb64d1652fbb8448f"/>
    <x:sheet xmlns:r="http://schemas.openxmlformats.org/officeDocument/2006/relationships" name="Codebook" sheetId="6" r:id="R5755f42a137d4a3e"/>
    <x:sheet xmlns:r="http://schemas.openxmlformats.org/officeDocument/2006/relationships" name="Evidence Registry" sheetId="7" r:id="Rf2ebff17717f47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&quot;△&quot;"/>
    <x:numFmt numFmtId="201" formatCode="[=1]&quot;✓&quot;;[=0]&quot;✗&quot;;&quot;△&quot;"/>
    <x:numFmt numFmtId="202" formatCode="0.0"/>
  </x:numFmts>
  <x:fonts count="1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7A5200"/>
      <x:name val="Carlito"/>
    </x:font>
    <x:font>
      <x:sz val="11"/>
      <x:color rgb="FF172B3A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i/>
      <x:sz val="11"/>
      <x:color rgb="FF7A5200"/>
      <x:name val="Carlito"/>
    </x:font>
    <x:font>
      <x:b/>
      <x:sz val="11"/>
      <x:color rgb="FFA12A22"/>
      <x:name val="Carlito"/>
    </x:font>
    <x:font>
      <x:sz val="8"/>
      <x:color rgb="FF172B3A"/>
      <x:name val="Carlito"/>
    </x:font>
    <x:font>
      <x:b/>
      <x:sz val="22"/>
      <x:color rgb="FFFFFFFF"/>
      <x:name val="Carlito"/>
    </x:font>
    <x:font>
      <x:i/>
      <x:sz val="10"/>
      <x:color rgb="FFFFFFFF"/>
      <x:name val="Carlito"/>
    </x:font>
    <x:font>
      <x:b/>
      <x:sz val="25"/>
      <x:color rgb="FF0B1F33"/>
      <x:name val="Carlito"/>
    </x:font>
    <x:font>
      <x:b/>
      <x:sz val="12"/>
      <x:color rgb="FFFFFFFF"/>
      <x:name val="Carlito"/>
    </x:font>
    <x:font>
      <x:sz val="10"/>
      <x:color rgb="FF7A5200"/>
      <x:name val="Carlito"/>
    </x:font>
    <x:font>
      <x:sz val="8"/>
      <x:color rgb="FF526775"/>
      <x:name val="Carlito"/>
    </x:font>
    <x:font>
      <x:sz val="10"/>
      <x:color rgb="FFA12A22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B57"/>
      </x:patternFill>
    </x:fill>
    <x:fill>
      <x:patternFill patternType="solid">
        <x:fgColor rgb="FFFFF1CC"/>
      </x:patternFill>
    </x:fill>
    <x:fill>
      <x:patternFill patternType="solid">
        <x:fgColor rgb="FFEAF2F8"/>
      </x:patternFill>
    </x:fill>
    <x:fill>
      <x:patternFill patternType="solid">
        <x:fgColor rgb="FFE6F5F3"/>
      </x:patternFill>
    </x:fill>
    <x:fill>
      <x:patternFill patternType="solid">
        <x:fgColor rgb="FFFCE8E6"/>
      </x:patternFill>
    </x:fill>
    <x:fill>
      <x:patternFill patternType="solid">
        <x:fgColor rgb="FF007A75"/>
      </x:patternFill>
    </x:fill>
    <x:fill>
      <x:patternFill patternType="solid">
        <x:fgColor rgb="FFA12A22"/>
      </x:patternFill>
    </x:fill>
  </x:fills>
  <x:borders count="35">
    <x:border/>
    <x:border>
      <x:right style="thin">
        <x:color rgb="FFE1E8ED"/>
      </x:right>
      <x:bottom style="thin">
        <x:color rgb="FFE1E8ED"/>
      </x:bottom>
    </x:border>
    <x:border>
      <x:left style="thin">
        <x:color rgb="FFE1E8ED"/>
      </x:left>
      <x:bottom style="thin">
        <x:color rgb="FFE1E8ED"/>
      </x:bottom>
    </x:border>
    <x:border>
      <x:right style="thin">
        <x:color rgb="FFE1E8ED"/>
      </x:right>
      <x:top style="thin">
        <x:color rgb="FFE1E8ED"/>
      </x:top>
      <x:bottom style="thin">
        <x:color rgb="FFE1E8ED"/>
      </x:bottom>
    </x:border>
    <x:border>
      <x:left style="thin">
        <x:color rgb="FFE1E8ED"/>
      </x:left>
      <x:top style="thin">
        <x:color rgb="FFE1E8ED"/>
      </x:top>
      <x:bottom style="thin">
        <x:color rgb="FFE1E8ED"/>
      </x:bottom>
    </x:border>
    <x:border>
      <x:right style="thin">
        <x:color rgb="FFE1E8ED"/>
      </x:right>
      <x:top style="thin">
        <x:color rgb="FFE1E8ED"/>
      </x:top>
    </x:border>
    <x:border>
      <x:left style="thin">
        <x:color rgb="FFE1E8ED"/>
      </x:left>
      <x:top style="thin">
        <x:color rgb="FFE1E8ED"/>
      </x:top>
    </x:border>
    <x:border>
      <x:bottom style="double">
        <x:color rgb="FF00A7A0"/>
      </x:bottom>
    </x:border>
    <x:border>
      <x:top style="medium">
        <x:color rgb="FF00A7A0"/>
      </x:top>
    </x:border>
    <x:border>
      <x:left style="thin">
        <x:color rgb="FFE1E8ED"/>
      </x:left>
      <x:right style="thin">
        <x:color rgb="FFE1E8ED"/>
      </x:right>
      <x:bottom style="thin">
        <x:color rgb="FFE1E8ED"/>
      </x:bottom>
    </x:border>
    <x:border>
      <x:left style="thin">
        <x:color rgb="FFE1E8ED"/>
      </x:left>
      <x:right style="thin">
        <x:color rgb="FFE1E8ED"/>
      </x:right>
      <x:top style="thin">
        <x:color rgb="FFE1E8ED"/>
      </x:top>
      <x:bottom style="thin">
        <x:color rgb="FFE1E8ED"/>
      </x:bottom>
    </x:border>
    <x:border>
      <x:left style="thin">
        <x:color rgb="FFE1E8ED"/>
      </x:left>
      <x:right style="thin">
        <x:color rgb="FFE1E8ED"/>
      </x:right>
      <x:top style="thin">
        <x:color rgb="FFE1E8ED"/>
      </x:top>
    </x:border>
    <x:border>
      <x:left style="thin">
        <x:color rgb="FF00A7A0"/>
      </x:left>
      <x:top style="thin">
        <x:color rgb="FF00A7A0"/>
      </x:top>
    </x:border>
    <x:border>
      <x:top style="thin">
        <x:color rgb="FF00A7A0"/>
      </x:top>
    </x:border>
    <x:border>
      <x:right style="thin">
        <x:color rgb="FF00A7A0"/>
      </x:right>
      <x:top style="thin">
        <x:color rgb="FF00A7A0"/>
      </x:top>
    </x:border>
    <x:border>
      <x:left style="thin">
        <x:color rgb="FF00A7A0"/>
      </x:left>
    </x:border>
    <x:border>
      <x:right style="thin">
        <x:color rgb="FF00A7A0"/>
      </x:right>
    </x:border>
    <x:border>
      <x:left style="thin">
        <x:color rgb="FF00A7A0"/>
      </x:left>
      <x:bottom style="thin">
        <x:color rgb="FF00A7A0"/>
      </x:bottom>
    </x:border>
    <x:border>
      <x:bottom style="thin">
        <x:color rgb="FF00A7A0"/>
      </x:bottom>
    </x:border>
    <x:border>
      <x:right style="thin">
        <x:color rgb="FF00A7A0"/>
      </x:right>
      <x:bottom style="thin">
        <x:color rgb="FF00A7A0"/>
      </x:bottom>
    </x:border>
    <x:border>
      <x:left style="medium">
        <x:color rgb="FF00A7A0"/>
      </x:left>
      <x:top style="medium">
        <x:color rgb="FF00A7A0"/>
      </x:top>
    </x:border>
    <x:border>
      <x:right style="medium">
        <x:color rgb="FF00A7A0"/>
      </x:right>
      <x:top style="medium">
        <x:color rgb="FF00A7A0"/>
      </x:top>
    </x:border>
    <x:border>
      <x:left style="medium">
        <x:color rgb="FF00A7A0"/>
      </x:left>
    </x:border>
    <x:border>
      <x:right style="medium">
        <x:color rgb="FF00A7A0"/>
      </x:right>
    </x:border>
    <x:border>
      <x:left style="medium">
        <x:color rgb="FF00A7A0"/>
      </x:left>
      <x:bottom style="medium">
        <x:color rgb="FF00A7A0"/>
      </x:bottom>
    </x:border>
    <x:border>
      <x:bottom style="medium">
        <x:color rgb="FF00A7A0"/>
      </x:bottom>
    </x:border>
    <x:border>
      <x:right style="medium">
        <x:color rgb="FF00A7A0"/>
      </x:right>
      <x:bottom style="medium">
        <x:color rgb="FF00A7A0"/>
      </x:bottom>
    </x:border>
    <x:border>
      <x:left style="thin">
        <x:color rgb="FF7A5200"/>
      </x:left>
      <x:top style="thin">
        <x:color rgb="FF7A5200"/>
      </x:top>
    </x:border>
    <x:border>
      <x:top style="thin">
        <x:color rgb="FF7A5200"/>
      </x:top>
    </x:border>
    <x:border>
      <x:right style="thin">
        <x:color rgb="FF7A5200"/>
      </x:right>
      <x:top style="thin">
        <x:color rgb="FF7A5200"/>
      </x:top>
    </x:border>
    <x:border>
      <x:left style="thin">
        <x:color rgb="FF7A5200"/>
      </x:left>
    </x:border>
    <x:border>
      <x:right style="thin">
        <x:color rgb="FF7A5200"/>
      </x:right>
    </x:border>
    <x:border>
      <x:left style="thin">
        <x:color rgb="FF7A5200"/>
      </x:left>
      <x:bottom style="thin">
        <x:color rgb="FF7A5200"/>
      </x:bottom>
    </x:border>
    <x:border>
      <x:bottom style="thin">
        <x:color rgb="FF7A5200"/>
      </x:bottom>
    </x:border>
    <x:border>
      <x:right style="thin">
        <x:color rgb="FF7A5200"/>
      </x:right>
      <x:bottom style="thin">
        <x:color rgb="FF7A5200"/>
      </x:bottom>
    </x:border>
  </x:borders>
  <x:cellStyleXfs count="1">
    <x:xf numFmtId="0" fontId="0" fillId="0" borderId="0"/>
  </x:cellStyleXfs>
  <x:cellXfs count="2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7" xfId="0" applyNumberFormat="1" applyFont="1" applyFill="1" applyBorder="1"/>
    <x:xf numFmtId="0" fontId="5" fillId="2" borderId="7" xfId="0" applyNumberFormat="1" applyFont="1" applyFill="1" applyBorder="1" applyAlignment="1">
      <x:alignment wrapText="1"/>
    </x:xf>
    <x:xf numFmtId="0" fontId="5" fillId="2" borderId="7" xfId="0" applyNumberFormat="1" applyFont="1" applyFill="1" applyBorder="1" applyAlignment="1">
      <x:alignment horizontal="center" wrapText="1"/>
    </x:xf>
    <x:xf numFmtId="0" fontId="5" fillId="2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0" fontId="6" fillId="0" borderId="0" xfId="0" applyNumberFormat="1" applyFont="1" applyFill="1" applyBorder="1" applyAlignment="1">
      <x:alignment horizontal="center"/>
    </x:xf>
    <x:xf numFmtId="200" fontId="6" fillId="0" borderId="0" xfId="0" applyNumberFormat="1" applyFont="1" applyFill="1" applyBorder="1" applyAlignment="1">
      <x:alignment horizontal="center" vertical="center"/>
    </x:xf>
    <x:xf numFmtId="201" fontId="6" fillId="0" borderId="0" xfId="0" applyNumberFormat="1" applyFont="1" applyFill="1" applyBorder="1" applyAlignment="1">
      <x:alignment horizontal="center" vertical="center"/>
    </x:xf>
    <x:xf numFmtId="202" fontId="6" fillId="0" borderId="0" xfId="0" applyNumberFormat="1" applyFont="1" applyFill="1" applyBorder="1"/>
    <x:xf numFmtId="202" fontId="6" fillId="0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201" fontId="6" fillId="5" borderId="0" xfId="0" applyNumberFormat="1" applyFont="1" applyFill="1" applyBorder="1" applyAlignment="1">
      <x:alignment horizontal="center" vertical="center"/>
    </x:xf>
    <x:xf numFmtId="202" fontId="6" fillId="5" borderId="0" xfId="0" applyNumberFormat="1" applyFont="1" applyFill="1" applyBorder="1" applyAlignment="1">
      <x:alignment horizontal="center"/>
    </x:xf>
    <x:xf numFmtId="0" fontId="6" fillId="0" borderId="8" xfId="0" applyNumberFormat="1" applyFont="1" applyFill="1" applyBorder="1"/>
    <x:xf numFmtId="0" fontId="6" fillId="0" borderId="8" xfId="0" applyNumberFormat="1" applyFont="1" applyFill="1" applyBorder="1" applyAlignment="1">
      <x:alignment wrapText="1"/>
    </x:xf>
    <x:xf numFmtId="201" fontId="6" fillId="0" borderId="8" xfId="0" applyNumberFormat="1" applyFont="1" applyFill="1" applyBorder="1" applyAlignment="1">
      <x:alignment horizontal="center" vertical="center"/>
    </x:xf>
    <x:xf numFmtId="202" fontId="6" fillId="0" borderId="8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1" fontId="6" fillId="6" borderId="0" xfId="0" applyNumberFormat="1" applyFont="1" applyFill="1" applyBorder="1" applyAlignment="1">
      <x:alignment horizontal="center" vertical="center"/>
    </x:xf>
    <x:xf numFmtId="202" fontId="6" fillId="6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9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6" fillId="0" borderId="10" xfId="0" applyNumberFormat="1" applyFont="1" applyFill="1" applyBorder="1" applyAlignment="1">
      <x:alignment vertical="top"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6" fillId="0" borderId="11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6" fillId="5" borderId="9" xfId="0" applyNumberFormat="1" applyFont="1" applyFill="1" applyBorder="1" applyAlignment="1">
      <x:alignment vertical="top" wrapText="1"/>
    </x:xf>
    <x:xf numFmtId="0" fontId="6" fillId="5" borderId="2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vertical="top" wrapText="1"/>
    </x:xf>
    <x:xf numFmtId="0" fontId="6" fillId="6" borderId="10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0" fontId="6" fillId="6" borderId="5" xfId="0" applyNumberFormat="1" applyFont="1" applyFill="1" applyBorder="1" applyAlignment="1">
      <x:alignment vertical="top" wrapText="1"/>
    </x:xf>
    <x:xf numFmtId="0" fontId="6" fillId="6" borderId="11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/>
    <x:xf numFmtId="0" fontId="6" fillId="0" borderId="9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1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11" xfId="0" applyNumberFormat="1" applyFont="1" applyFill="1" applyBorder="1"/>
    <x:xf numFmtId="0" fontId="6" fillId="0" borderId="6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vertical="top" wrapText="1"/>
    </x:xf>
    <x:xf numFmtId="0" fontId="6" fillId="6" borderId="9" xfId="0" applyNumberFormat="1" applyFont="1" applyFill="1" applyBorder="1" applyAlignment="1">
      <x:alignment vertical="top" wrapText="1"/>
    </x:xf>
    <x:xf numFmtId="0" fontId="6" fillId="6" borderId="2" xfId="0" applyNumberFormat="1" applyFont="1" applyFill="1" applyBorder="1" applyAlignment="1">
      <x:alignment vertical="top" wrapText="1"/>
    </x:xf>
    <x:xf numFmtId="0" fontId="6" fillId="5" borderId="3" xfId="0" applyNumberFormat="1" applyFont="1" applyFill="1" applyBorder="1" applyAlignment="1">
      <x:alignment vertical="top" wrapText="1"/>
    </x:xf>
    <x:xf numFmtId="0" fontId="6" fillId="5" borderId="10" xfId="0" applyNumberFormat="1" applyFont="1" applyFill="1" applyBorder="1" applyAlignment="1">
      <x:alignment vertical="top" wrapText="1"/>
    </x:xf>
    <x:xf numFmtId="0" fontId="6" fillId="5" borderId="4" xfId="0" applyNumberFormat="1" applyFont="1" applyFill="1" applyBorder="1" applyAlignment="1">
      <x:alignment vertical="top" wrapText="1"/>
    </x:xf>
    <x:xf numFmtId="0" fontId="6" fillId="4" borderId="3" xfId="0" applyNumberFormat="1" applyFont="1" applyFill="1" applyBorder="1" applyAlignment="1">
      <x:alignment vertical="top" wrapText="1"/>
    </x:xf>
    <x:xf numFmtId="0" fontId="6" fillId="4" borderId="10" xfId="0" applyNumberFormat="1" applyFont="1" applyFill="1" applyBorder="1" applyAlignment="1">
      <x:alignment vertical="top" wrapText="1"/>
    </x:xf>
    <x:xf numFmtId="0" fontId="6" fillId="4" borderId="4" xfId="0" applyNumberFormat="1" applyFont="1" applyFill="1" applyBorder="1" applyAlignment="1">
      <x:alignment vertical="top" wrapText="1"/>
    </x:xf>
    <x:xf numFmtId="0" fontId="6" fillId="4" borderId="5" xfId="0" applyNumberFormat="1" applyFont="1" applyFill="1" applyBorder="1" applyAlignment="1">
      <x:alignment vertical="top" wrapText="1"/>
    </x:xf>
    <x:xf numFmtId="0" fontId="6" fillId="4" borderId="11" xfId="0" applyNumberFormat="1" applyFont="1" applyFill="1" applyBorder="1" applyAlignment="1">
      <x:alignment vertical="top" wrapText="1"/>
    </x:xf>
    <x:xf numFmtId="0" fontId="6" fillId="4" borderId="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/>
    <x:xf numFmtId="0" fontId="11" fillId="3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horizontal="center"/>
    </x:xf>
    <x:xf numFmtId="0" fontId="5" fillId="8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12" xfId="0" applyNumberFormat="1" applyFont="1" applyFill="1" applyBorder="1"/>
    <x:xf numFmtId="0" fontId="12" fillId="6" borderId="13" xfId="0" applyNumberFormat="1" applyFont="1" applyFill="1" applyBorder="1"/>
    <x:xf numFmtId="0" fontId="12" fillId="6" borderId="14" xfId="0" applyNumberFormat="1" applyFont="1" applyFill="1" applyBorder="1"/>
    <x:xf numFmtId="0" fontId="12" fillId="6" borderId="15" xfId="0" applyNumberFormat="1" applyFont="1" applyFill="1" applyBorder="1"/>
    <x:xf numFmtId="0" fontId="12" fillId="6" borderId="16" xfId="0" applyNumberFormat="1" applyFont="1" applyFill="1" applyBorder="1"/>
    <x:xf numFmtId="0" fontId="12" fillId="6" borderId="17" xfId="0" applyNumberFormat="1" applyFont="1" applyFill="1" applyBorder="1"/>
    <x:xf numFmtId="0" fontId="12" fillId="6" borderId="18" xfId="0" applyNumberFormat="1" applyFont="1" applyFill="1" applyBorder="1"/>
    <x:xf numFmtId="0" fontId="12" fillId="6" borderId="19" xfId="0" applyNumberFormat="1" applyFont="1" applyFill="1" applyBorder="1"/>
    <x:xf numFmtId="0" fontId="12" fillId="6" borderId="12" xfId="0" applyNumberFormat="1" applyFont="1" applyFill="1" applyBorder="1" applyAlignment="1">
      <x:alignment horizontal="center"/>
    </x:xf>
    <x:xf numFmtId="0" fontId="12" fillId="6" borderId="13" xfId="0" applyNumberFormat="1" applyFont="1" applyFill="1" applyBorder="1" applyAlignment="1">
      <x:alignment horizontal="center"/>
    </x:xf>
    <x:xf numFmtId="0" fontId="12" fillId="6" borderId="14" xfId="0" applyNumberFormat="1" applyFont="1" applyFill="1" applyBorder="1" applyAlignment="1">
      <x:alignment horizontal="center"/>
    </x:xf>
    <x:xf numFmtId="0" fontId="12" fillId="6" borderId="15" xfId="0" applyNumberFormat="1" applyFont="1" applyFill="1" applyBorder="1" applyAlignment="1">
      <x:alignment horizontal="center"/>
    </x:xf>
    <x:xf numFmtId="0" fontId="12" fillId="6" borderId="0" xfId="0" applyNumberFormat="1" applyFont="1" applyFill="1" applyBorder="1" applyAlignment="1">
      <x:alignment horizontal="center"/>
    </x:xf>
    <x:xf numFmtId="0" fontId="12" fillId="6" borderId="16" xfId="0" applyNumberFormat="1" applyFont="1" applyFill="1" applyBorder="1" applyAlignment="1">
      <x:alignment horizontal="center"/>
    </x:xf>
    <x:xf numFmtId="0" fontId="12" fillId="6" borderId="17" xfId="0" applyNumberFormat="1" applyFont="1" applyFill="1" applyBorder="1" applyAlignment="1">
      <x:alignment horizontal="center"/>
    </x:xf>
    <x:xf numFmtId="0" fontId="12" fillId="6" borderId="18" xfId="0" applyNumberFormat="1" applyFont="1" applyFill="1" applyBorder="1" applyAlignment="1">
      <x:alignment horizontal="center"/>
    </x:xf>
    <x:xf numFmtId="0" fontId="12" fillId="6" borderId="19" xfId="0" applyNumberFormat="1" applyFont="1" applyFill="1" applyBorder="1" applyAlignment="1">
      <x:alignment horizontal="center"/>
    </x:xf>
    <x:xf numFmtId="0" fontId="12" fillId="6" borderId="12" xfId="0" applyNumberFormat="1" applyFont="1" applyFill="1" applyBorder="1" applyAlignment="1">
      <x:alignment horizontal="center" vertical="center"/>
    </x:xf>
    <x:xf numFmtId="0" fontId="12" fillId="6" borderId="13" xfId="0" applyNumberFormat="1" applyFont="1" applyFill="1" applyBorder="1" applyAlignment="1">
      <x:alignment horizontal="center" vertical="center"/>
    </x:xf>
    <x:xf numFmtId="0" fontId="12" fillId="6" borderId="14" xfId="0" applyNumberFormat="1" applyFont="1" applyFill="1" applyBorder="1" applyAlignment="1">
      <x:alignment horizontal="center" vertical="center"/>
    </x:xf>
    <x:xf numFmtId="0" fontId="12" fillId="6" borderId="15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 applyAlignment="1">
      <x:alignment horizontal="center" vertical="center"/>
    </x:xf>
    <x:xf numFmtId="0" fontId="12" fillId="6" borderId="16" xfId="0" applyNumberFormat="1" applyFont="1" applyFill="1" applyBorder="1" applyAlignment="1">
      <x:alignment horizontal="center" vertical="center"/>
    </x:xf>
    <x:xf numFmtId="0" fontId="12" fillId="6" borderId="17" xfId="0" applyNumberFormat="1" applyFont="1" applyFill="1" applyBorder="1" applyAlignment="1">
      <x:alignment horizontal="center" vertical="center"/>
    </x:xf>
    <x:xf numFmtId="0" fontId="12" fillId="6" borderId="18" xfId="0" applyNumberFormat="1" applyFont="1" applyFill="1" applyBorder="1" applyAlignment="1">
      <x:alignment horizontal="center" vertical="center"/>
    </x:xf>
    <x:xf numFmtId="0" fontId="12" fillId="6" borderId="19" xfId="0" applyNumberFormat="1" applyFont="1" applyFill="1" applyBorder="1" applyAlignment="1">
      <x:alignment horizontal="center" vertical="center"/>
    </x:xf>
    <x:xf numFmtId="0" fontId="13" fillId="3" borderId="0" xfId="0" applyNumberFormat="1" applyFont="1" applyFill="1" applyBorder="1"/>
    <x:xf numFmtId="0" fontId="4" fillId="5" borderId="20" xfId="0" applyNumberFormat="1" applyFont="1" applyFill="1" applyBorder="1"/>
    <x:xf numFmtId="0" fontId="4" fillId="5" borderId="8" xfId="0" applyNumberFormat="1" applyFont="1" applyFill="1" applyBorder="1"/>
    <x:xf numFmtId="0" fontId="4" fillId="5" borderId="21" xfId="0" applyNumberFormat="1" applyFont="1" applyFill="1" applyBorder="1"/>
    <x:xf numFmtId="0" fontId="4" fillId="5" borderId="22" xfId="0" applyNumberFormat="1" applyFont="1" applyFill="1" applyBorder="1"/>
    <x:xf numFmtId="0" fontId="4" fillId="5" borderId="23" xfId="0" applyNumberFormat="1" applyFont="1" applyFill="1" applyBorder="1"/>
    <x:xf numFmtId="0" fontId="4" fillId="5" borderId="24" xfId="0" applyNumberFormat="1" applyFont="1" applyFill="1" applyBorder="1"/>
    <x:xf numFmtId="0" fontId="4" fillId="5" borderId="25" xfId="0" applyNumberFormat="1" applyFont="1" applyFill="1" applyBorder="1"/>
    <x:xf numFmtId="0" fontId="4" fillId="5" borderId="26" xfId="0" applyNumberFormat="1" applyFont="1" applyFill="1" applyBorder="1"/>
    <x:xf numFmtId="0" fontId="4" fillId="5" borderId="20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21" xfId="0" applyNumberFormat="1" applyFont="1" applyFill="1" applyBorder="1" applyAlignment="1">
      <x:alignment wrapText="1"/>
    </x:xf>
    <x:xf numFmtId="0" fontId="4" fillId="5" borderId="22" xfId="0" applyNumberFormat="1" applyFont="1" applyFill="1" applyBorder="1" applyAlignment="1">
      <x:alignment wrapText="1"/>
    </x:xf>
    <x:xf numFmtId="0" fontId="4" fillId="5" borderId="23" xfId="0" applyNumberFormat="1" applyFont="1" applyFill="1" applyBorder="1" applyAlignment="1">
      <x:alignment wrapText="1"/>
    </x:xf>
    <x:xf numFmtId="0" fontId="4" fillId="5" borderId="24" xfId="0" applyNumberFormat="1" applyFont="1" applyFill="1" applyBorder="1" applyAlignment="1">
      <x:alignment wrapText="1"/>
    </x:xf>
    <x:xf numFmtId="0" fontId="4" fillId="5" borderId="25" xfId="0" applyNumberFormat="1" applyFont="1" applyFill="1" applyBorder="1" applyAlignment="1">
      <x:alignment wrapText="1"/>
    </x:xf>
    <x:xf numFmtId="0" fontId="4" fillId="5" borderId="26" xfId="0" applyNumberFormat="1" applyFont="1" applyFill="1" applyBorder="1" applyAlignment="1">
      <x:alignment wrapText="1"/>
    </x:xf>
    <x:xf numFmtId="0" fontId="4" fillId="5" borderId="20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0" fontId="4" fillId="5" borderId="21" xfId="0" applyNumberFormat="1" applyFont="1" applyFill="1" applyBorder="1" applyAlignment="1">
      <x:alignment vertical="center" wrapText="1"/>
    </x:xf>
    <x:xf numFmtId="0" fontId="4" fillId="5" borderId="22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23" xfId="0" applyNumberFormat="1" applyFont="1" applyFill="1" applyBorder="1" applyAlignment="1">
      <x:alignment vertical="center" wrapText="1"/>
    </x:xf>
    <x:xf numFmtId="0" fontId="4" fillId="5" borderId="24" xfId="0" applyNumberFormat="1" applyFont="1" applyFill="1" applyBorder="1" applyAlignment="1">
      <x:alignment vertical="center" wrapText="1"/>
    </x:xf>
    <x:xf numFmtId="0" fontId="4" fillId="5" borderId="25" xfId="0" applyNumberFormat="1" applyFont="1" applyFill="1" applyBorder="1" applyAlignment="1">
      <x:alignment vertical="center" wrapText="1"/>
    </x:xf>
    <x:xf numFmtId="0" fontId="4" fillId="5" borderId="26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202" fontId="0" fillId="0" borderId="9" xfId="0" applyNumberFormat="1" applyFont="1" applyFill="1" applyBorder="1" applyAlignment="1">
      <x:alignment vertical="center" wrapText="1"/>
    </x:xf>
    <x:xf numFmtId="202" fontId="0" fillId="0" borderId="10" xfId="0" applyNumberFormat="1" applyFont="1" applyFill="1" applyBorder="1" applyAlignment="1">
      <x:alignment vertical="center" wrapText="1"/>
    </x:xf>
    <x:xf numFmtId="202" fontId="0" fillId="0" borderId="11" xfId="0" applyNumberFormat="1" applyFont="1" applyFill="1" applyBorder="1" applyAlignment="1">
      <x:alignment vertical="center" wrapText="1"/>
    </x:xf>
    <x:xf numFmtId="202" fontId="0" fillId="0" borderId="9" xfId="0" applyNumberFormat="1" applyFont="1" applyFill="1" applyBorder="1" applyAlignment="1">
      <x:alignment horizontal="center" vertical="center" wrapText="1"/>
    </x:xf>
    <x:xf numFmtId="202" fontId="0" fillId="0" borderId="10" xfId="0" applyNumberFormat="1" applyFont="1" applyFill="1" applyBorder="1" applyAlignment="1">
      <x:alignment horizontal="center" vertical="center" wrapText="1"/>
    </x:xf>
    <x:xf numFmtId="202" fontId="0" fillId="0" borderId="11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202" fontId="0" fillId="5" borderId="9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vertical="center" wrapText="1"/>
    </x:xf>
    <x:xf numFmtId="0" fontId="0" fillId="6" borderId="3" xfId="0" applyNumberFormat="1" applyFont="1" applyFill="1" applyBorder="1" applyAlignment="1">
      <x:alignment vertical="center" wrapText="1"/>
    </x:xf>
    <x:xf numFmtId="0" fontId="0" fillId="6" borderId="10" xfId="0" applyNumberFormat="1" applyFont="1" applyFill="1" applyBorder="1" applyAlignment="1">
      <x:alignment vertical="center" wrapText="1"/>
    </x:xf>
    <x:xf numFmtId="202" fontId="0" fillId="6" borderId="10" xfId="0" applyNumberFormat="1" applyFont="1" applyFill="1" applyBorder="1" applyAlignment="1">
      <x:alignment horizontal="center" vertical="center" wrapText="1"/>
    </x:xf>
    <x:xf numFmtId="0" fontId="0" fillId="6" borderId="4" xfId="0" applyNumberFormat="1" applyFont="1" applyFill="1" applyBorder="1" applyAlignment="1">
      <x:alignment vertical="center" wrapText="1"/>
    </x:xf>
    <x:xf numFmtId="0" fontId="14" fillId="4" borderId="0" xfId="0" applyNumberFormat="1" applyFont="1" applyFill="1" applyBorder="1"/>
    <x:xf numFmtId="0" fontId="14" fillId="4" borderId="27" xfId="0" applyNumberFormat="1" applyFont="1" applyFill="1" applyBorder="1"/>
    <x:xf numFmtId="0" fontId="14" fillId="4" borderId="28" xfId="0" applyNumberFormat="1" applyFont="1" applyFill="1" applyBorder="1"/>
    <x:xf numFmtId="0" fontId="14" fillId="4" borderId="29" xfId="0" applyNumberFormat="1" applyFont="1" applyFill="1" applyBorder="1"/>
    <x:xf numFmtId="0" fontId="14" fillId="4" borderId="30" xfId="0" applyNumberFormat="1" applyFont="1" applyFill="1" applyBorder="1"/>
    <x:xf numFmtId="0" fontId="14" fillId="4" borderId="31" xfId="0" applyNumberFormat="1" applyFont="1" applyFill="1" applyBorder="1"/>
    <x:xf numFmtId="0" fontId="14" fillId="4" borderId="32" xfId="0" applyNumberFormat="1" applyFont="1" applyFill="1" applyBorder="1"/>
    <x:xf numFmtId="0" fontId="14" fillId="4" borderId="33" xfId="0" applyNumberFormat="1" applyFont="1" applyFill="1" applyBorder="1"/>
    <x:xf numFmtId="0" fontId="14" fillId="4" borderId="34" xfId="0" applyNumberFormat="1" applyFont="1" applyFill="1" applyBorder="1"/>
    <x:xf numFmtId="0" fontId="14" fillId="4" borderId="27" xfId="0" applyNumberFormat="1" applyFont="1" applyFill="1" applyBorder="1" applyAlignment="1">
      <x:alignment wrapText="1"/>
    </x:xf>
    <x:xf numFmtId="0" fontId="14" fillId="4" borderId="28" xfId="0" applyNumberFormat="1" applyFont="1" applyFill="1" applyBorder="1" applyAlignment="1">
      <x:alignment wrapText="1"/>
    </x:xf>
    <x:xf numFmtId="0" fontId="14" fillId="4" borderId="29" xfId="0" applyNumberFormat="1" applyFont="1" applyFill="1" applyBorder="1" applyAlignment="1">
      <x:alignment wrapText="1"/>
    </x:xf>
    <x:xf numFmtId="0" fontId="14" fillId="4" borderId="30" xfId="0" applyNumberFormat="1" applyFont="1" applyFill="1" applyBorder="1" applyAlignment="1">
      <x:alignment wrapText="1"/>
    </x:xf>
    <x:xf numFmtId="0" fontId="14" fillId="4" borderId="0" xfId="0" applyNumberFormat="1" applyFont="1" applyFill="1" applyBorder="1" applyAlignment="1">
      <x:alignment wrapText="1"/>
    </x:xf>
    <x:xf numFmtId="0" fontId="14" fillId="4" borderId="31" xfId="0" applyNumberFormat="1" applyFont="1" applyFill="1" applyBorder="1" applyAlignment="1">
      <x:alignment wrapText="1"/>
    </x:xf>
    <x:xf numFmtId="0" fontId="14" fillId="4" borderId="32" xfId="0" applyNumberFormat="1" applyFont="1" applyFill="1" applyBorder="1" applyAlignment="1">
      <x:alignment wrapText="1"/>
    </x:xf>
    <x:xf numFmtId="0" fontId="14" fillId="4" borderId="33" xfId="0" applyNumberFormat="1" applyFont="1" applyFill="1" applyBorder="1" applyAlignment="1">
      <x:alignment wrapText="1"/>
    </x:xf>
    <x:xf numFmtId="0" fontId="14" fillId="4" borderId="34" xfId="0" applyNumberFormat="1" applyFont="1" applyFill="1" applyBorder="1" applyAlignment="1">
      <x:alignment wrapText="1"/>
    </x:xf>
    <x:xf numFmtId="0" fontId="14" fillId="4" borderId="27" xfId="0" applyNumberFormat="1" applyFont="1" applyFill="1" applyBorder="1" applyAlignment="1">
      <x:alignment vertical="center" wrapText="1"/>
    </x:xf>
    <x:xf numFmtId="0" fontId="14" fillId="4" borderId="28" xfId="0" applyNumberFormat="1" applyFont="1" applyFill="1" applyBorder="1" applyAlignment="1">
      <x:alignment vertical="center" wrapText="1"/>
    </x:xf>
    <x:xf numFmtId="0" fontId="14" fillId="4" borderId="29" xfId="0" applyNumberFormat="1" applyFont="1" applyFill="1" applyBorder="1" applyAlignment="1">
      <x:alignment vertical="center" wrapText="1"/>
    </x:xf>
    <x:xf numFmtId="0" fontId="14" fillId="4" borderId="30" xfId="0" applyNumberFormat="1" applyFont="1" applyFill="1" applyBorder="1" applyAlignment="1">
      <x:alignment vertical="center" wrapText="1"/>
    </x:xf>
    <x:xf numFmtId="0" fontId="14" fillId="4" borderId="0" xfId="0" applyNumberFormat="1" applyFont="1" applyFill="1" applyBorder="1" applyAlignment="1">
      <x:alignment vertical="center" wrapText="1"/>
    </x:xf>
    <x:xf numFmtId="0" fontId="14" fillId="4" borderId="31" xfId="0" applyNumberFormat="1" applyFont="1" applyFill="1" applyBorder="1" applyAlignment="1">
      <x:alignment vertical="center" wrapText="1"/>
    </x:xf>
    <x:xf numFmtId="0" fontId="14" fillId="4" borderId="32" xfId="0" applyNumberFormat="1" applyFont="1" applyFill="1" applyBorder="1" applyAlignment="1">
      <x:alignment vertical="center" wrapText="1"/>
    </x:xf>
    <x:xf numFmtId="0" fontId="14" fillId="4" borderId="33" xfId="0" applyNumberFormat="1" applyFont="1" applyFill="1" applyBorder="1" applyAlignment="1">
      <x:alignment vertical="center" wrapText="1"/>
    </x:xf>
    <x:xf numFmtId="0" fontId="14" fillId="4" borderId="34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/>
    <x:xf numFmtId="202" fontId="15" fillId="0" borderId="0" xfId="0" applyNumberFormat="1" applyFont="1" applyFill="1" applyBorder="1"/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16" fillId="7" borderId="0" xfId="0" applyNumberFormat="1" applyFont="1" applyFill="1" applyBorder="1"/>
    <x:xf numFmtId="0" fontId="16" fillId="7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E6B3D"/>
      </x:font>
      <x:fill>
        <x:patternFill patternType="solid">
          <x:bgColor rgb="FFDFF3E4"/>
        </x:patternFill>
      </x:fill>
    </x:dxf>
    <x:dxf>
      <x:font>
        <x:b/>
        <x:color rgb="FF7A5200"/>
      </x:font>
      <x:fill>
        <x:patternFill patternType="solid">
          <x:bgColor rgb="FFFFF1CC"/>
        </x:patternFill>
      </x:fill>
    </x:dxf>
    <x:dxf>
      <x:font>
        <x:b/>
        <x:color rgb="FFA12A22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78e6a1d6d740f4" /><Relationship Type="http://schemas.openxmlformats.org/officeDocument/2006/relationships/theme" Target="/xl/theme/theme1.xml" Id="R6f530162590344ca" /><Relationship Type="http://schemas.openxmlformats.org/officeDocument/2006/relationships/sharedStrings" Target="/xl/sharedStrings.xml" Id="R37b05c693dde485d" /><Relationship Type="http://schemas.openxmlformats.org/officeDocument/2006/relationships/worksheet" Target="/xl/worksheets/sheet1.xml" Id="R8fcf294d4708480d" /><Relationship Type="http://schemas.openxmlformats.org/officeDocument/2006/relationships/worksheet" Target="/xl/worksheets/sheet2.xml" Id="Raa4dfec9730e4f0a" /><Relationship Type="http://schemas.openxmlformats.org/officeDocument/2006/relationships/worksheet" Target="/xl/worksheets/sheet3.xml" Id="Rfe1fd4b305304891" /><Relationship Type="http://schemas.openxmlformats.org/officeDocument/2006/relationships/worksheet" Target="/xl/worksheets/sheet4.xml" Id="R7be968c0962a4c56" /><Relationship Type="http://schemas.openxmlformats.org/officeDocument/2006/relationships/worksheet" Target="/xl/worksheets/sheet5.xml" Id="Rb64d1652fbb8448f" /><Relationship Type="http://schemas.openxmlformats.org/officeDocument/2006/relationships/worksheet" Target="/xl/worksheets/sheet6.xml" Id="R5755f42a137d4a3e" /><Relationship Type="http://schemas.openxmlformats.org/officeDocument/2006/relationships/worksheet" Target="/xl/worksheets/sheet7.xml" Id="Rf2ebff17717f47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c389e987483485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Capability score (not clinical accuracy)</a:t>
            </a:r>
          </a:p>
        </c:rich>
      </c:tx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Capability score</c:v>
          </c:tx>
          <c:cat>
            <c:strRef>
              <c:f>'Executive Summary'!$A$29:$A$46</c:f>
              <c:strCache>
                <c:ptCount val="0"/>
              </c:strCache>
            </c:strRef>
          </c:cat>
          <c:val>
            <c:numRef>
              <c:f>'Executive Summary'!$B$29:$B$46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27</xdr:row>
      <xdr:rowOff>0</xdr:rowOff>
    </xdr:from>
    <xdr:to>
      <xdr:col>12</xdr:col>
      <xdr:colOff>0</xdr:colOff>
      <xdr:row>48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389e987483485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viceFeatureMatrix" displayName="DeviceFeatureMatrix" ref="A1:AD19" headerRowCount="1" totalsRowCount="0" totalsRowShown="0">
  <x:tableColumns count="30">
    <x:tableColumn id="1" name="evaluation_order"/>
    <x:tableColumn id="2" name="device"/>
    <x:tableColumn id="3" name="company_origin"/>
    <x:tableColumn id="4" name="form_factor_segment"/>
    <x:tableColumn id="5" name="hr"/>
    <x:tableColumn id="6" name="ibi_hrv"/>
    <x:tableColumn id="7" name="raw_ppg_bvp"/>
    <x:tableColumn id="8" name="ecg"/>
    <x:tableColumn id="9" name="bp_actual"/>
    <x:tableColumn id="10" name="bp_continuous"/>
    <x:tableColumn id="11" name="spo2"/>
    <x:tableColumn id="12" name="skin_temperature"/>
    <x:tableColumn id="13" name="eda"/>
    <x:tableColumn id="14" name="respiration"/>
    <x:tableColumn id="15" name="motion"/>
    <x:tableColumn id="16" name="background_recording"/>
    <x:tableColumn id="17" name="live_programmatic"/>
    <x:tableColumn id="18" name="raw_waveform_export"/>
    <x:tableColumn id="19" name="api_sdk"/>
    <x:tableColumn id="20" name="manual_export"/>
    <x:tableColumn id="21" name="battery_days_nominal"/>
    <x:tableColumn id="22" name="access_mode"/>
    <x:tableColumn id="23" name="key_limit"/>
    <x:tableColumn id="24" name="source_ids"/>
    <x:tableColumn id="25" name="Acute sensing score"/>
    <x:tableColumn id="26" name="Data access score"/>
    <x:tableColumn id="27" name="Capability score"/>
    <x:tableColumn id="28" name="Delta vs Apple"/>
    <x:tableColumn id="29" name="Score band"/>
    <x:tableColumn id="30" name="Recommended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AccessTable" displayName="DataAccessTable" ref="A5:G23" headerRowCount="1" totalsRowCount="0" totalsRowShown="0">
  <x:tableColumns count="7">
    <x:tableColumn id="1" name="Device"/>
    <x:tableColumn id="2" name="Programmatic live path"/>
    <x:tableColumn id="3" name="Raw export"/>
    <x:tableColumn id="4" name="Manual export"/>
    <x:tableColumn id="5" name="Typical data shape"/>
    <x:tableColumn id="6" name="Primary gate"/>
    <x:tableColumn id="7" name="Vitestro ro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ignalEvidenceTable" displayName="SignalEvidenceTable" ref="A5:F17" headerRowCount="1" totalsRowCount="0" totalsRowShown="0">
  <x:tableColumns count="6">
    <x:tableColumn id="1" name="modality"/>
    <x:tableColumn id="2" name="deployment_class"/>
    <x:tableColumn id="3" name="vitestro_role"/>
    <x:tableColumn id="4" name="evidence_summary"/>
    <x:tableColumn id="5" name="main_failure_mode"/>
    <x:tableColumn id="6" name="source_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tocolGateTable" displayName="ProtocolGateTable" ref="A5:F15" headerRowCount="1" totalsRowCount="0" totalsRowShown="0">
  <x:tableColumns count="6">
    <x:tableColumn id="1" name="Gate"/>
    <x:tableColumn id="2" name="Objective"/>
    <x:tableColumn id="3" name="Required test"/>
    <x:tableColumn id="4" name="Required output"/>
    <x:tableColumn id="5" name="Decision rule"/>
    <x:tableColumn id="6" name="Failure disposi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videnceRegistryTable" displayName="EvidenceRegistryTable" ref="A1:J96" headerRowCount="1" totalsRowCount="0" totalsRowShown="0">
  <x:tableColumns count="10">
    <x:tableColumn id="1" name="source_id"/>
    <x:tableColumn id="2" name="category"/>
    <x:tableColumn id="3" name="entity"/>
    <x:tableColumn id="4" name="claim_supported"/>
    <x:tableColumn id="5" name="source_type"/>
    <x:tableColumn id="6" name="url"/>
    <x:tableColumn id="7" name="published_or_updated"/>
    <x:tableColumn id="8" name="accessed_at"/>
    <x:tableColumn id="9" name="confidence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59aca7cc4f041e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0f2700707d42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8e656d5a46946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df86b8a0f514b9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b60165d28e841e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e64cece4bdb9477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22" hidden="0" customWidth="1"/>
    <x:col min="5" max="5" width="4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>
      <x:c r="A1" s="111" t="str">
        <x:v>Vitestro Wearable Device Evaluation</x:v>
      </x:c>
      <x:c r="B1" s="111"/>
      <x:c r="C1" s="111"/>
      <x:c r="D1" s="111"/>
      <x:c r="E1" s="111"/>
      <x:c r="F1" s="111"/>
      <x:c r="G1" s="111"/>
      <x:c r="H1" s="111"/>
      <x:c r="I1" s="111"/>
      <x:c r="J1" s="111"/>
      <x:c r="K1" s="111"/>
      <x:c r="L1" s="111"/>
    </x:row>
    <x:row r="2">
      <x:c r="A2" s="111"/>
      <x:c r="B2" s="111"/>
      <x:c r="C2" s="111"/>
      <x:c r="D2" s="111"/>
      <x:c r="E2" s="111"/>
      <x:c r="F2" s="111"/>
      <x:c r="G2" s="111"/>
      <x:c r="H2" s="111"/>
      <x:c r="I2" s="111"/>
      <x:c r="J2" s="111"/>
      <x:c r="K2" s="111"/>
      <x:c r="L2" s="111"/>
    </x:row>
    <x:row r="3">
      <x:c r="A3" s="113" t="str">
        <x:v>Mayo–Vitestro presyncope sensing | US-first device pool | Evidence reviewed 2026-07-23</x:v>
      </x:c>
      <x:c r="B3" s="113"/>
      <x:c r="C3" s="113"/>
      <x:c r="D3" s="113"/>
      <x:c r="E3" s="113"/>
      <x:c r="F3" s="113"/>
      <x:c r="G3" s="113"/>
      <x:c r="H3" s="113"/>
      <x:c r="I3" s="113"/>
      <x:c r="J3" s="113"/>
      <x:c r="K3" s="113"/>
      <x:c r="L3" s="113"/>
    </x:row>
    <x:row r="5">
      <x:c r="A5" s="117" t="str">
        <x:v>Devices assessed</x:v>
      </x:c>
      <x:c r="B5" s="117"/>
      <x:c r="C5" s="117"/>
      <x:c r="D5" s="117" t="str">
        <x:v>US / US-HQ products</x:v>
      </x:c>
      <x:c r="E5" s="117"/>
      <x:c r="F5" s="117"/>
      <x:c r="G5" s="117" t="str">
        <x:v>US wrist bench-now</x:v>
      </x:c>
      <x:c r="H5" s="117"/>
      <x:c r="I5" s="117"/>
      <x:c r="J5" s="117" t="str">
        <x:v>Clinical-ready today</x:v>
      </x:c>
      <x:c r="K5" s="117"/>
      <x:c r="L5" s="117"/>
    </x:row>
    <x:row r="6">
      <x:c r="A6" s="137" t="str">
        <x:v>18</x:v>
      </x:c>
      <x:c r="B6" s="138"/>
      <x:c r="C6" s="139"/>
      <x:c r="D6" s="137" t="str">
        <x:v>14</x:v>
      </x:c>
      <x:c r="E6" s="138"/>
      <x:c r="F6" s="139"/>
      <x:c r="G6" s="137" t="str">
        <x:v>3</x:v>
      </x:c>
      <x:c r="H6" s="138"/>
      <x:c r="I6" s="139"/>
      <x:c r="J6" s="137" t="str">
        <x:v>0</x:v>
      </x:c>
      <x:c r="K6" s="138"/>
      <x:c r="L6" s="139"/>
    </x:row>
    <x:row r="7">
      <x:c r="A7" s="140"/>
      <x:c r="B7" s="141"/>
      <x:c r="C7" s="142"/>
      <x:c r="D7" s="140"/>
      <x:c r="E7" s="141"/>
      <x:c r="F7" s="142"/>
      <x:c r="G7" s="140"/>
      <x:c r="H7" s="141"/>
      <x:c r="I7" s="142"/>
      <x:c r="J7" s="140"/>
      <x:c r="K7" s="141"/>
      <x:c r="L7" s="142"/>
    </x:row>
    <x:row r="8">
      <x:c r="A8" s="143"/>
      <x:c r="B8" s="144"/>
      <x:c r="C8" s="145"/>
      <x:c r="D8" s="143"/>
      <x:c r="E8" s="144"/>
      <x:c r="F8" s="145"/>
      <x:c r="G8" s="143"/>
      <x:c r="H8" s="144"/>
      <x:c r="I8" s="145"/>
      <x:c r="J8" s="143"/>
      <x:c r="K8" s="144"/>
      <x:c r="L8" s="145"/>
    </x:row>
    <x:row r="10">
      <x:c r="A10" s="146" t="str">
        <x:v>Decision</x:v>
      </x:c>
      <x:c r="B10" s="146"/>
      <x:c r="C10" s="146"/>
      <x:c r="D10" s="146"/>
      <x:c r="E10" s="146"/>
      <x:c r="F10" s="146"/>
      <x:c r="G10" s="146"/>
      <x:c r="H10" s="146"/>
      <x:c r="I10" s="146"/>
      <x:c r="J10" s="146"/>
      <x:c r="K10" s="146"/>
      <x:c r="L10" s="146"/>
    </x:row>
    <x:row r="11">
      <x:c r="A11" s="163" t="str">
        <x:v>Bench Apple Watch Series 11, ActiGraph LEAP, and Biostrap Kairos. Run a payload/contract/workflow bake-off among VitalPatch RTM, Vivalink VV330/VV350, and Sibel ANNE One, then select one US reference platform. Add Galaxy Watch8 as the direct-evidence control and EmbracePlus only if EDA remains in scope. Facial RGB/thermal is optional auxiliary research, not a wearable replacement.</x:v>
      </x:c>
      <x:c r="B11" s="164"/>
      <x:c r="C11" s="164"/>
      <x:c r="D11" s="164"/>
      <x:c r="E11" s="164"/>
      <x:c r="F11" s="164"/>
      <x:c r="G11" s="164"/>
      <x:c r="H11" s="164"/>
      <x:c r="I11" s="164"/>
      <x:c r="J11" s="164"/>
      <x:c r="K11" s="164"/>
      <x:c r="L11" s="165"/>
    </x:row>
    <x:row r="12">
      <x:c r="A12" s="166"/>
      <x:c r="B12" s="167"/>
      <x:c r="C12" s="167"/>
      <x:c r="D12" s="167"/>
      <x:c r="E12" s="167"/>
      <x:c r="F12" s="167"/>
      <x:c r="G12" s="167"/>
      <x:c r="H12" s="167"/>
      <x:c r="I12" s="167"/>
      <x:c r="J12" s="167"/>
      <x:c r="K12" s="167"/>
      <x:c r="L12" s="168"/>
    </x:row>
    <x:row r="13">
      <x:c r="A13" s="166"/>
      <x:c r="B13" s="167"/>
      <x:c r="C13" s="167"/>
      <x:c r="D13" s="167"/>
      <x:c r="E13" s="167"/>
      <x:c r="F13" s="167"/>
      <x:c r="G13" s="167"/>
      <x:c r="H13" s="167"/>
      <x:c r="I13" s="167"/>
      <x:c r="J13" s="167"/>
      <x:c r="K13" s="167"/>
      <x:c r="L13" s="168"/>
    </x:row>
    <x:row r="14">
      <x:c r="A14" s="169"/>
      <x:c r="B14" s="170"/>
      <x:c r="C14" s="170"/>
      <x:c r="D14" s="170"/>
      <x:c r="E14" s="170"/>
      <x:c r="F14" s="170"/>
      <x:c r="G14" s="170"/>
      <x:c r="H14" s="170"/>
      <x:c r="I14" s="170"/>
      <x:c r="J14" s="170"/>
      <x:c r="K14" s="170"/>
      <x:c r="L14" s="171"/>
    </x:row>
    <x:row r="16">
      <x:c r="A16" s="172" t="str">
        <x:v>Device</x:v>
      </x:c>
      <x:c r="B16" s="172" t="str">
        <x:v>Role</x:v>
      </x:c>
      <x:c r="C16" s="172" t="str">
        <x:v>Capability score</x:v>
      </x:c>
      <x:c r="D16" s="172" t="str">
        <x:v>Action</x:v>
      </x:c>
      <x:c r="F16" s="5" t="str">
        <x:v>Why Apple is not the algorithm winner</x:v>
      </x:c>
      <x:c r="G16" s="5"/>
      <x:c r="H16" s="5"/>
      <x:c r="I16" s="5"/>
      <x:c r="J16" s="5"/>
      <x:c r="K16" s="5"/>
      <x:c r="L16" s="5"/>
    </x:row>
    <x:row r="17" ht="38" customHeight="1">
      <x:c r="A17" s="200" t="str">
        <x:v>Apple Watch Series 11</x:v>
      </x:c>
      <x:c r="B17" s="201" t="str">
        <x:v>Ecosystem baseline</x:v>
      </x:c>
      <x:c r="C17" s="202" t="n">
        <x:f>'Feature Matrix'!AA2</x:f>
        <x:v>44</x:v>
      </x:c>
      <x:c r="D17" s="203" t="str">
        <x:v>Bench now</x:v>
      </x:c>
      <x:c r="F17" s="226" t="str">
        <x:v>Apple provides a strong user experience, live processed HR/motion in a watchOS session, saved ECG voltage, HealthKit, and XML export. It does not expose continuous raw PPG, EDA, or actual blood pressure. Hypertension notifications analyze long-term patterns and cannot represent rapid presyncope hypotension.</x:v>
      </x:c>
      <x:c r="G17" s="227"/>
      <x:c r="H17" s="227"/>
      <x:c r="I17" s="227"/>
      <x:c r="J17" s="227"/>
      <x:c r="K17" s="227"/>
      <x:c r="L17" s="228"/>
    </x:row>
    <x:row r="18" ht="38" customHeight="1">
      <x:c r="A18" s="204" t="str">
        <x:v>ActiGraph LEAP</x:v>
      </x:c>
      <x:c r="B18" s="205" t="str">
        <x:v>Primary US wrist research</x:v>
      </x:c>
      <x:c r="C18" s="206" t="n">
        <x:f>'Feature Matrix'!AA3</x:f>
        <x:v>64</x:v>
      </x:c>
      <x:c r="D18" s="207" t="str">
        <x:v>Bench now</x:v>
      </x:c>
      <x:c r="F18" s="229"/>
      <x:c r="G18" s="230"/>
      <x:c r="H18" s="230"/>
      <x:c r="I18" s="230"/>
      <x:c r="J18" s="230"/>
      <x:c r="K18" s="230"/>
      <x:c r="L18" s="231"/>
    </x:row>
    <x:row r="19" ht="38" customHeight="1">
      <x:c r="A19" s="204" t="str">
        <x:v>Biostrap Kairos</x:v>
      </x:c>
      <x:c r="B19" s="205" t="str">
        <x:v>Independent US raw-PPG/IBI</x:v>
      </x:c>
      <x:c r="C19" s="206" t="n">
        <x:f>'Feature Matrix'!AA4</x:f>
        <x:v>59.5</x:v>
      </x:c>
      <x:c r="D19" s="207" t="str">
        <x:v>Bench now</x:v>
      </x:c>
      <x:c r="F19" s="229"/>
      <x:c r="G19" s="230"/>
      <x:c r="H19" s="230"/>
      <x:c r="I19" s="230"/>
      <x:c r="J19" s="230"/>
      <x:c r="K19" s="230"/>
      <x:c r="L19" s="231"/>
    </x:row>
    <x:row r="20" ht="38" customHeight="1">
      <x:c r="A20" s="204" t="str">
        <x:v>VitalConnect VitalPatch RTM</x:v>
      </x:c>
      <x:c r="B20" s="205" t="str">
        <x:v>US reference finalist</x:v>
      </x:c>
      <x:c r="C20" s="206" t="n">
        <x:f>'Feature Matrix'!AA5</x:f>
        <x:v>60</x:v>
      </x:c>
      <x:c r="D20" s="207" t="str">
        <x:v>Bake-off</x:v>
      </x:c>
      <x:c r="F20" s="229"/>
      <x:c r="G20" s="230"/>
      <x:c r="H20" s="230"/>
      <x:c r="I20" s="230"/>
      <x:c r="J20" s="230"/>
      <x:c r="K20" s="230"/>
      <x:c r="L20" s="231"/>
    </x:row>
    <x:row r="21" ht="38" customHeight="1">
      <x:c r="A21" s="204" t="str">
        <x:v>Vivalink VV330/VV350</x:v>
      </x:c>
      <x:c r="B21" s="205" t="str">
        <x:v>US open-integration finalist</x:v>
      </x:c>
      <x:c r="C21" s="206" t="n">
        <x:f>'Feature Matrix'!AA17</x:f>
        <x:v>60</x:v>
      </x:c>
      <x:c r="D21" s="207" t="str">
        <x:v>Bake-off</x:v>
      </x:c>
      <x:c r="F21" s="229"/>
      <x:c r="G21" s="230"/>
      <x:c r="H21" s="230"/>
      <x:c r="I21" s="230"/>
      <x:c r="J21" s="230"/>
      <x:c r="K21" s="230"/>
      <x:c r="L21" s="231"/>
    </x:row>
    <x:row r="22" ht="38" customHeight="1">
      <x:c r="A22" s="204" t="str">
        <x:v>Sibel ANNE One</x:v>
      </x:c>
      <x:c r="B22" s="205" t="str">
        <x:v>US multimodal finalist</x:v>
      </x:c>
      <x:c r="C22" s="206" t="n">
        <x:f>'Feature Matrix'!AA18</x:f>
        <x:v>69.5</x:v>
      </x:c>
      <x:c r="D22" s="207" t="str">
        <x:v>Bake-off</x:v>
      </x:c>
      <x:c r="F22" s="229"/>
      <x:c r="G22" s="230"/>
      <x:c r="H22" s="230"/>
      <x:c r="I22" s="230"/>
      <x:c r="J22" s="230"/>
      <x:c r="K22" s="230"/>
      <x:c r="L22" s="231"/>
    </x:row>
    <x:row r="23" ht="38" customHeight="1">
      <x:c r="A23" s="188" t="str">
        <x:v>Samsung Galaxy Watch8</x:v>
      </x:c>
      <x:c r="B23" s="189" t="str">
        <x:v>Direct-evidence control</x:v>
      </x:c>
      <x:c r="C23" s="198" t="n">
        <x:f>'Feature Matrix'!AA13</x:f>
        <x:v>75</x:v>
      </x:c>
      <x:c r="D23" s="190" t="str">
        <x:v>Control unit</x:v>
      </x:c>
      <x:c r="F23" s="229"/>
      <x:c r="G23" s="230"/>
      <x:c r="H23" s="230"/>
      <x:c r="I23" s="230"/>
      <x:c r="J23" s="230"/>
      <x:c r="K23" s="230"/>
      <x:c r="L23" s="231"/>
    </x:row>
    <x:row r="24" ht="38" customHeight="1">
      <x:c r="A24" s="188" t="str">
        <x:v>Empatica EmbracePlus</x:v>
      </x:c>
      <x:c r="B24" s="189" t="str">
        <x:v>Raw EDA/BVP control</x:v>
      </x:c>
      <x:c r="C24" s="198" t="n">
        <x:f>'Feature Matrix'!AA14</x:f>
        <x:v>68.5</x:v>
      </x:c>
      <x:c r="D24" s="190" t="str">
        <x:v>Conditional</x:v>
      </x:c>
      <x:c r="F24" s="229"/>
      <x:c r="G24" s="230"/>
      <x:c r="H24" s="230"/>
      <x:c r="I24" s="230"/>
      <x:c r="J24" s="230"/>
      <x:c r="K24" s="230"/>
      <x:c r="L24" s="231"/>
    </x:row>
    <x:row r="25" ht="38" customHeight="1">
      <x:c r="A25" s="188" t="str">
        <x:v>Medidata BioStamp nPoint</x:v>
      </x:c>
      <x:c r="B25" s="189" t="str">
        <x:v>US research comparator</x:v>
      </x:c>
      <x:c r="C25" s="198" t="n">
        <x:f>'Feature Matrix'!AA19</x:f>
        <x:v>47.5</x:v>
      </x:c>
      <x:c r="D25" s="190" t="str">
        <x:v>Diligence</x:v>
      </x:c>
      <x:c r="F25" s="229"/>
      <x:c r="G25" s="230"/>
      <x:c r="H25" s="230"/>
      <x:c r="I25" s="230"/>
      <x:c r="J25" s="230"/>
      <x:c r="K25" s="230"/>
      <x:c r="L25" s="231"/>
    </x:row>
    <x:row r="26" ht="38" customHeight="1">
      <x:c r="A26" s="191" t="str">
        <x:v>Corsano CardioWatch 287-2</x:v>
      </x:c>
      <x:c r="B26" s="192" t="str">
        <x:v>Cuffless-BP diligence</x:v>
      </x:c>
      <x:c r="C26" s="199" t="n">
        <x:f>'Feature Matrix'!AA15</x:f>
        <x:v>98.5</x:v>
      </x:c>
      <x:c r="D26" s="193" t="str">
        <x:v>Vendor diligence</x:v>
      </x:c>
      <x:c r="F26" s="232"/>
      <x:c r="G26" s="233"/>
      <x:c r="H26" s="233"/>
      <x:c r="I26" s="233"/>
      <x:c r="J26" s="233"/>
      <x:c r="K26" s="233"/>
      <x:c r="L26" s="234"/>
    </x:row>
    <x:row r="28">
      <x:c r="A28" s="235" t="str">
        <x:v>Device</x:v>
      </x:c>
      <x:c r="B28" s="235" t="str">
        <x:v>Capability score</x:v>
      </x:c>
    </x:row>
    <x:row r="29">
      <x:c r="A29" s="235" t="str">
        <x:f>'Feature Matrix'!B2</x:f>
        <x:v>Apple Watch Series 11</x:v>
      </x:c>
      <x:c r="B29" s="236" t="n">
        <x:f>'Feature Matrix'!AA2</x:f>
        <x:v>44</x:v>
      </x:c>
    </x:row>
    <x:row r="30">
      <x:c r="A30" s="235" t="str">
        <x:f>'Feature Matrix'!B3</x:f>
        <x:v>ActiGraph LEAP</x:v>
      </x:c>
      <x:c r="B30" s="236" t="n">
        <x:f>'Feature Matrix'!AA3</x:f>
        <x:v>64</x:v>
      </x:c>
    </x:row>
    <x:row r="31">
      <x:c r="A31" s="235" t="str">
        <x:f>'Feature Matrix'!B4</x:f>
        <x:v>Biostrap Kairos</x:v>
      </x:c>
      <x:c r="B31" s="236" t="n">
        <x:f>'Feature Matrix'!AA4</x:f>
        <x:v>59.5</x:v>
      </x:c>
    </x:row>
    <x:row r="32">
      <x:c r="A32" s="235" t="str">
        <x:f>'Feature Matrix'!B5</x:f>
        <x:v>VitalConnect VitalPatch RTM</x:v>
      </x:c>
      <x:c r="B32" s="236" t="n">
        <x:f>'Feature Matrix'!AA5</x:f>
        <x:v>60</x:v>
      </x:c>
    </x:row>
    <x:row r="33">
      <x:c r="A33" s="235" t="str">
        <x:f>'Feature Matrix'!B6</x:f>
        <x:v>Google Pixel Watch 4</x:v>
      </x:c>
      <x:c r="B33" s="236" t="n">
        <x:f>'Feature Matrix'!AA6</x:f>
        <x:v>47</x:v>
      </x:c>
    </x:row>
    <x:row r="34">
      <x:c r="A34" s="235" t="str">
        <x:f>'Feature Matrix'!B7</x:f>
        <x:v>Fitbit Sense 2</x:v>
      </x:c>
      <x:c r="B34" s="236" t="n">
        <x:f>'Feature Matrix'!AA7</x:f>
        <x:v>37.5</x:v>
      </x:c>
    </x:row>
    <x:row r="35">
      <x:c r="A35" s="235" t="str">
        <x:f>'Feature Matrix'!B8</x:f>
        <x:v>Garmin Venu 4</x:v>
      </x:c>
      <x:c r="B35" s="236" t="n">
        <x:f>'Feature Matrix'!AA8</x:f>
        <x:v>46.5</x:v>
      </x:c>
    </x:row>
    <x:row r="36">
      <x:c r="A36" s="235" t="str">
        <x:f>'Feature Matrix'!B9</x:f>
        <x:v>WHOOP MG</x:v>
      </x:c>
      <x:c r="B36" s="236" t="n">
        <x:f>'Feature Matrix'!AA9</x:f>
        <x:v>36.5</x:v>
      </x:c>
    </x:row>
    <x:row r="37">
      <x:c r="A37" s="235" t="str">
        <x:f>'Feature Matrix'!B10</x:f>
        <x:v>BioIntelliSense BioButton Rechargeable</x:v>
      </x:c>
      <x:c r="B37" s="236" t="n">
        <x:f>'Feature Matrix'!AA10</x:f>
        <x:v>31</x:v>
      </x:c>
    </x:row>
    <x:row r="38">
      <x:c r="A38" s="235" t="str">
        <x:f>'Feature Matrix'!B11</x:f>
        <x:v>Masimo W1 Medical</x:v>
      </x:c>
      <x:c r="B38" s="236" t="n">
        <x:f>'Feature Matrix'!AA11</x:f>
        <x:v>34</x:v>
      </x:c>
    </x:row>
    <x:row r="39">
      <x:c r="A39" s="235" t="str">
        <x:f>'Feature Matrix'!B12</x:f>
        <x:v>iRhythm Zio AT</x:v>
      </x:c>
      <x:c r="B39" s="236" t="n">
        <x:f>'Feature Matrix'!AA12</x:f>
        <x:v>37.5</x:v>
      </x:c>
    </x:row>
    <x:row r="40">
      <x:c r="A40" s="235" t="str">
        <x:f>'Feature Matrix'!B13</x:f>
        <x:v>Samsung Galaxy Watch8</x:v>
      </x:c>
      <x:c r="B40" s="236" t="n">
        <x:f>'Feature Matrix'!AA13</x:f>
        <x:v>75</x:v>
      </x:c>
    </x:row>
    <x:row r="41">
      <x:c r="A41" s="235" t="str">
        <x:f>'Feature Matrix'!B14</x:f>
        <x:v>Empatica EmbracePlus</x:v>
      </x:c>
      <x:c r="B41" s="236" t="n">
        <x:f>'Feature Matrix'!AA14</x:f>
        <x:v>68.5</x:v>
      </x:c>
    </x:row>
    <x:row r="42">
      <x:c r="A42" s="235" t="str">
        <x:f>'Feature Matrix'!B15</x:f>
        <x:v>Corsano CardioWatch 287-2</x:v>
      </x:c>
      <x:c r="B42" s="236" t="n">
        <x:f>'Feature Matrix'!AA15</x:f>
        <x:v>98.5</x:v>
      </x:c>
    </x:row>
    <x:row r="43">
      <x:c r="A43" s="235" t="str">
        <x:f>'Feature Matrix'!B16</x:f>
        <x:v>Huawei Watch D2</x:v>
      </x:c>
      <x:c r="B43" s="236" t="n">
        <x:f>'Feature Matrix'!AA16</x:f>
        <x:v>44.5</x:v>
      </x:c>
    </x:row>
    <x:row r="44">
      <x:c r="A44" s="235" t="str">
        <x:f>'Feature Matrix'!B17</x:f>
        <x:v>Vivalink VV330/VV350 Continuous ECG Platform</x:v>
      </x:c>
      <x:c r="B44" s="236" t="n">
        <x:f>'Feature Matrix'!AA17</x:f>
        <x:v>60</x:v>
      </x:c>
    </x:row>
    <x:row r="45">
      <x:c r="A45" s="235" t="str">
        <x:f>'Feature Matrix'!B18</x:f>
        <x:v>Sibel ANNE One</x:v>
      </x:c>
      <x:c r="B45" s="236" t="n">
        <x:f>'Feature Matrix'!AA18</x:f>
        <x:v>69.5</x:v>
      </x:c>
    </x:row>
    <x:row r="46">
      <x:c r="A46" s="235" t="str">
        <x:f>'Feature Matrix'!B19</x:f>
        <x:v>Medidata BioStamp nPoint</x:v>
      </x:c>
      <x:c r="B46" s="236" t="n">
        <x:f>'Feature Matrix'!AA19</x:f>
        <x:v>47.5</x:v>
      </x:c>
    </x:row>
    <x:row r="50">
      <x:c r="A50" s="238" t="str">
        <x:v>Critical boundary</x:v>
      </x:c>
      <x:c r="B50" s="238"/>
      <x:c r="C50" s="238"/>
      <x:c r="D50" s="238"/>
      <x:c r="E50" s="238"/>
      <x:c r="F50" s="238"/>
      <x:c r="G50" s="238"/>
      <x:c r="H50" s="238"/>
      <x:c r="I50" s="238"/>
      <x:c r="J50" s="238"/>
      <x:c r="K50" s="238"/>
      <x:c r="L50" s="238"/>
    </x:row>
    <x:row r="51">
      <x:c r="A51" s="241" t="str">
        <x:v>A check mark means a capability exists, not that it is accurate or validated for venipuncture presyncope. Fast cuffless BP must be compared with a synchronized continuous reference. Optical signals must be stratified by motion, perfusion, fit, wrist circumference, and objectively measured skin pigmentation.</x:v>
      </x:c>
      <x:c r="B51" s="241"/>
      <x:c r="C51" s="241"/>
      <x:c r="D51" s="241"/>
      <x:c r="E51" s="241"/>
      <x:c r="F51" s="241"/>
      <x:c r="G51" s="241"/>
      <x:c r="H51" s="241"/>
      <x:c r="I51" s="241"/>
      <x:c r="J51" s="241"/>
      <x:c r="K51" s="241"/>
      <x:c r="L51" s="241"/>
    </x:row>
    <x:row r="52">
      <x:c r="A52" s="241"/>
      <x:c r="B52" s="241"/>
      <x:c r="C52" s="241"/>
      <x:c r="D52" s="241"/>
      <x:c r="E52" s="241"/>
      <x:c r="F52" s="241"/>
      <x:c r="G52" s="241"/>
      <x:c r="H52" s="241"/>
      <x:c r="I52" s="241"/>
      <x:c r="J52" s="241"/>
      <x:c r="K52" s="241"/>
      <x:c r="L52" s="241"/>
    </x:row>
    <x:row r="53">
      <x:c r="A53" s="241"/>
      <x:c r="B53" s="241"/>
      <x:c r="C53" s="241"/>
      <x:c r="D53" s="241"/>
      <x:c r="E53" s="241"/>
      <x:c r="F53" s="241"/>
      <x:c r="G53" s="241"/>
      <x:c r="H53" s="241"/>
      <x:c r="I53" s="241"/>
      <x:c r="J53" s="241"/>
      <x:c r="K53" s="241"/>
      <x:c r="L53" s="241"/>
    </x:row>
    <x:row r="54">
      <x:c r="A54" s="241"/>
      <x:c r="B54" s="241"/>
      <x:c r="C54" s="241"/>
      <x:c r="D54" s="241"/>
      <x:c r="E54" s="241"/>
      <x:c r="F54" s="241"/>
      <x:c r="G54" s="241"/>
      <x:c r="H54" s="241"/>
      <x:c r="I54" s="241"/>
      <x:c r="J54" s="241"/>
      <x:c r="K54" s="241"/>
      <x:c r="L54" s="241"/>
    </x:row>
  </x:sheetData>
  <x:mergeCells>
    <x:mergeCell ref="A1:L2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L10"/>
    <x:mergeCell ref="A11:L14"/>
    <x:mergeCell ref="F16:L16"/>
    <x:mergeCell ref="F17:L26"/>
    <x:mergeCell ref="A50:L50"/>
    <x:mergeCell ref="A51:L54"/>
  </x:mergeCells>
  <x:pageMargins left="0.7" right="0.7" top="0.75" bottom="0.75" header="0.3" footer="0.3"/>
  <x:drawing xmlns:r="http://schemas.openxmlformats.org/officeDocument/2006/relationships" r:id="Re59aca7cc4f041e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0" hidden="0" customWidth="1"/>
    <x:col min="3" max="3" width="23" hidden="0" customWidth="1"/>
    <x:col min="4" max="4" width="23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34" hidden="0" customWidth="1"/>
    <x:col min="23" max="23" width="58" hidden="0" customWidth="1"/>
    <x:col min="24" max="24" width="30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2" hidden="0" customWidth="1"/>
    <x:col min="30" max="30" width="22" hidden="0" customWidth="1"/>
  </x:cols>
  <x:sheetData>
    <x:row r="1" ht="46" customHeight="1">
      <x:c r="A1" s="25" t="str">
        <x:v>evaluation_order</x:v>
      </x:c>
      <x:c r="B1" s="25" t="str">
        <x:v>device</x:v>
      </x:c>
      <x:c r="C1" s="25" t="str">
        <x:v>company_origin</x:v>
      </x:c>
      <x:c r="D1" s="25" t="str">
        <x:v>form_factor_segment</x:v>
      </x:c>
      <x:c r="E1" s="25" t="str">
        <x:v>hr</x:v>
      </x:c>
      <x:c r="F1" s="25" t="str">
        <x:v>ibi_hrv</x:v>
      </x:c>
      <x:c r="G1" s="25" t="str">
        <x:v>raw_ppg_bvp</x:v>
      </x:c>
      <x:c r="H1" s="25" t="str">
        <x:v>ecg</x:v>
      </x:c>
      <x:c r="I1" s="25" t="str">
        <x:v>bp_actual</x:v>
      </x:c>
      <x:c r="J1" s="25" t="str">
        <x:v>bp_continuous</x:v>
      </x:c>
      <x:c r="K1" s="25" t="str">
        <x:v>spo2</x:v>
      </x:c>
      <x:c r="L1" s="25" t="str">
        <x:v>skin_temperature</x:v>
      </x:c>
      <x:c r="M1" s="25" t="str">
        <x:v>eda</x:v>
      </x:c>
      <x:c r="N1" s="25" t="str">
        <x:v>respiration</x:v>
      </x:c>
      <x:c r="O1" s="25" t="str">
        <x:v>motion</x:v>
      </x:c>
      <x:c r="P1" s="25" t="str">
        <x:v>background_recording</x:v>
      </x:c>
      <x:c r="Q1" s="25" t="str">
        <x:v>live_programmatic</x:v>
      </x:c>
      <x:c r="R1" s="25" t="str">
        <x:v>raw_waveform_export</x:v>
      </x:c>
      <x:c r="S1" s="25" t="str">
        <x:v>api_sdk</x:v>
      </x:c>
      <x:c r="T1" s="25" t="str">
        <x:v>manual_export</x:v>
      </x:c>
      <x:c r="U1" s="25" t="str">
        <x:v>battery_days_nominal</x:v>
      </x:c>
      <x:c r="V1" s="25" t="str">
        <x:v>access_mode</x:v>
      </x:c>
      <x:c r="W1" s="25" t="str">
        <x:v>key_limit</x:v>
      </x:c>
      <x:c r="X1" s="25" t="str">
        <x:v>source_ids</x:v>
      </x:c>
      <x:c r="Y1" s="25" t="str">
        <x:v>Acute sensing score</x:v>
      </x:c>
      <x:c r="Z1" s="25" t="str">
        <x:v>Data access score</x:v>
      </x:c>
      <x:c r="AA1" s="25" t="str">
        <x:v>Capability score</x:v>
      </x:c>
      <x:c r="AB1" s="25" t="str">
        <x:v>Delta vs Apple</x:v>
      </x:c>
      <x:c r="AC1" s="25" t="str">
        <x:v>Score band</x:v>
      </x:c>
      <x:c r="AD1" s="25" t="str">
        <x:v>Recommended action</x:v>
      </x:c>
    </x:row>
    <x:row r="2" ht="50" customHeight="1">
      <x:c r="A2" s="34" t="str">
        <x:v>1</x:v>
      </x:c>
      <x:c r="B2" s="35" t="str">
        <x:v>Apple Watch Series 11</x:v>
      </x:c>
      <x:c r="C2" s="35" t="str">
        <x:v>United States</x:v>
      </x:c>
      <x:c r="D2" s="35" t="str">
        <x:v>watch — consumer baseline</x:v>
      </x:c>
      <x:c r="E2" s="36" t="str">
        <x:v>1</x:v>
      </x:c>
      <x:c r="F2" s="36" t="str">
        <x:v>0.5</x:v>
      </x:c>
      <x:c r="G2" s="36" t="str">
        <x:v>0</x:v>
      </x:c>
      <x:c r="H2" s="36" t="str">
        <x:v>0.5</x:v>
      </x:c>
      <x:c r="I2" s="36" t="str">
        <x:v>0</x:v>
      </x:c>
      <x:c r="J2" s="36" t="str">
        <x:v>0</x:v>
      </x:c>
      <x:c r="K2" s="36" t="str">
        <x:v>0.5</x:v>
      </x:c>
      <x:c r="L2" s="36" t="str">
        <x:v>0.5</x:v>
      </x:c>
      <x:c r="M2" s="36" t="str">
        <x:v>0</x:v>
      </x:c>
      <x:c r="N2" s="36" t="str">
        <x:v>0.5</x:v>
      </x:c>
      <x:c r="O2" s="36" t="str">
        <x:v>1</x:v>
      </x:c>
      <x:c r="P2" s="36" t="str">
        <x:v>1</x:v>
      </x:c>
      <x:c r="Q2" s="36" t="str">
        <x:v>0.5</x:v>
      </x:c>
      <x:c r="R2" s="36" t="str">
        <x:v>0.5</x:v>
      </x:c>
      <x:c r="S2" s="36" t="str">
        <x:v>1</x:v>
      </x:c>
      <x:c r="T2" s="36" t="str">
        <x:v>1</x:v>
      </x:c>
      <x:c r="U2" s="34" t="str">
        <x:v>1</x:v>
      </x:c>
      <x:c r="V2" s="35" t="str">
        <x:v>HealthKit; Core Motion; XML export</x:v>
      </x:c>
      <x:c r="W2" s="35" t="str">
        <x:v>No public continuous raw PPG, EDA, or BP; several metrics are spot, night, or region limited</x:v>
      </x:c>
      <x:c r="X2" s="35" t="str">
        <x:v>APL01;APL02;APL04;APL05;VAL01</x:v>
      </x:c>
      <x:c r="Y2" s="37" t="n">
        <x:f>E2*'Codebook'!$B$5+F2*'Codebook'!$B$6+G2*'Codebook'!$B$7+H2*'Codebook'!$B$8+I2*'Codebook'!$B$9+J2*'Codebook'!$B$10+K2*'Codebook'!$B$11+L2*'Codebook'!$B$12+M2*'Codebook'!$B$13+N2*'Codebook'!$B$14+O2*'Codebook'!$B$15</x:f>
        <x:v>19</x:v>
      </x:c>
      <x:c r="Z2" s="37" t="n">
        <x:f>P2*'Codebook'!$E$5+Q2*'Codebook'!$E$6+R2*'Codebook'!$E$7+S2*'Codebook'!$E$8+T2*'Codebook'!$E$9</x:f>
        <x:v>25</x:v>
      </x:c>
      <x:c r="AA2" s="37" t="n">
        <x:f>Y2+Z2</x:f>
        <x:v>44</x:v>
      </x:c>
      <x:c r="AB2" s="37" t="n">
        <x:f>AA2-$AA$2</x:f>
        <x:v>0</x:v>
      </x:c>
      <x:c r="AC2" s="35" t="str">
        <x:f>IF(AA2&gt;=70,"High data potential",IF(AA2&gt;=50,"Pilot potential","Comparator"))</x:f>
        <x:v>Comparator</x:v>
      </x:c>
      <x:c r="AD2" s="35" t="str">
        <x:v>Bench now</x:v>
      </x:c>
    </x:row>
    <x:row r="3" ht="50" customHeight="1">
      <x:c r="A3" s="26" t="str">
        <x:v>2</x:v>
      </x:c>
      <x:c r="B3" s="33" t="str">
        <x:v>ActiGraph LEAP</x:v>
      </x:c>
      <x:c r="C3" s="33" t="str">
        <x:v>United States</x:v>
      </x:c>
      <x:c r="D3" s="33" t="str">
        <x:v>wrist wearable — clinical research primary</x:v>
      </x:c>
      <x:c r="E3" s="30" t="str">
        <x:v>1</x:v>
      </x:c>
      <x:c r="F3" s="30" t="str">
        <x:v>1</x:v>
      </x:c>
      <x:c r="G3" s="30" t="str">
        <x:v>1</x:v>
      </x:c>
      <x:c r="H3" s="30" t="str">
        <x:v>0</x:v>
      </x:c>
      <x:c r="I3" s="30" t="str">
        <x:v>0.5</x:v>
      </x:c>
      <x:c r="J3" s="30" t="str">
        <x:v>0</x:v>
      </x:c>
      <x:c r="K3" s="30" t="str">
        <x:v>0.5</x:v>
      </x:c>
      <x:c r="L3" s="30" t="str">
        <x:v>1</x:v>
      </x:c>
      <x:c r="M3" s="30" t="str">
        <x:v>0</x:v>
      </x:c>
      <x:c r="N3" s="30" t="str">
        <x:v>0.5</x:v>
      </x:c>
      <x:c r="O3" s="30" t="str">
        <x:v>1</x:v>
      </x:c>
      <x:c r="P3" s="30" t="str">
        <x:v>1</x:v>
      </x:c>
      <x:c r="Q3" s="30" t="str">
        <x:v>0.5</x:v>
      </x:c>
      <x:c r="R3" s="30" t="str">
        <x:v>1</x:v>
      </x:c>
      <x:c r="S3" s="30" t="str">
        <x:v>1</x:v>
      </x:c>
      <x:c r="T3" s="30" t="str">
        <x:v>1</x:v>
      </x:c>
      <x:c r="U3" s="26" t="str">
        <x:v>32</x:v>
      </x:c>
      <x:c r="V3" s="33" t="str">
        <x:v>CentrePoint; Data Access API; ActiLife 7</x:v>
      </x:c>
      <x:c r="W3" s="33" t="str">
        <x:v>Raw data are available after device-to-platform transfer; public documentation does not establish low-latency live streaming; BP is an external upper-arm measure, not a LEAP wrist signal</x:v>
      </x:c>
      <x:c r="X3" s="33" t="str">
        <x:v>ACT01;ACT02;VAL09</x:v>
      </x:c>
      <x:c r="Y3" s="32" t="n">
        <x:f>E3*'Codebook'!$B$5+F3*'Codebook'!$B$6+G3*'Codebook'!$B$7+H3*'Codebook'!$B$8+I3*'Codebook'!$B$9+J3*'Codebook'!$B$10+K3*'Codebook'!$B$11+L3*'Codebook'!$B$12+M3*'Codebook'!$B$13+N3*'Codebook'!$B$14+O3*'Codebook'!$B$15</x:f>
        <x:v>35</x:v>
      </x:c>
      <x:c r="Z3" s="32" t="n">
        <x:f>P3*'Codebook'!$E$5+Q3*'Codebook'!$E$6+R3*'Codebook'!$E$7+S3*'Codebook'!$E$8+T3*'Codebook'!$E$9</x:f>
        <x:v>29</x:v>
      </x:c>
      <x:c r="AA3" s="32" t="n">
        <x:f>Y3+Z3</x:f>
        <x:v>64</x:v>
      </x:c>
      <x:c r="AB3" s="32" t="n">
        <x:f>AA3-$AA$2</x:f>
        <x:v>20</x:v>
      </x:c>
      <x:c r="AC3" s="33" t="str">
        <x:f>IF(AA3&gt;=70,"High data potential",IF(AA3&gt;=50,"Pilot potential","Comparator"))</x:f>
        <x:v>Pilot potential</x:v>
      </x:c>
      <x:c r="AD3" s="33" t="str">
        <x:v>Bench now</x:v>
      </x:c>
    </x:row>
    <x:row r="4" ht="50" customHeight="1">
      <x:c r="A4" s="26" t="str">
        <x:v>3</x:v>
      </x:c>
      <x:c r="B4" s="33" t="str">
        <x:v>Biostrap Kairos</x:v>
      </x:c>
      <x:c r="C4" s="33" t="str">
        <x:v>United States</x:v>
      </x:c>
      <x:c r="D4" s="33" t="str">
        <x:v>wrist wearable — research primary</x:v>
      </x:c>
      <x:c r="E4" s="30" t="str">
        <x:v>1</x:v>
      </x:c>
      <x:c r="F4" s="30" t="str">
        <x:v>1</x:v>
      </x:c>
      <x:c r="G4" s="30" t="str">
        <x:v>1</x:v>
      </x:c>
      <x:c r="H4" s="30" t="str">
        <x:v>0</x:v>
      </x:c>
      <x:c r="I4" s="30" t="str">
        <x:v>0</x:v>
      </x:c>
      <x:c r="J4" s="30" t="str">
        <x:v>0</x:v>
      </x:c>
      <x:c r="K4" s="30" t="str">
        <x:v>0.5</x:v>
      </x:c>
      <x:c r="L4" s="30" t="str">
        <x:v>0</x:v>
      </x:c>
      <x:c r="M4" s="30" t="str">
        <x:v>0</x:v>
      </x:c>
      <x:c r="N4" s="30" t="str">
        <x:v>1</x:v>
      </x:c>
      <x:c r="O4" s="30" t="str">
        <x:v>1</x:v>
      </x:c>
      <x:c r="P4" s="30" t="str">
        <x:v>1</x:v>
      </x:c>
      <x:c r="Q4" s="30" t="str">
        <x:v>0.5</x:v>
      </x:c>
      <x:c r="R4" s="30" t="str">
        <x:v>1</x:v>
      </x:c>
      <x:c r="S4" s="30" t="str">
        <x:v>1</x:v>
      </x:c>
      <x:c r="T4" s="30" t="str">
        <x:v>1</x:v>
      </x:c>
      <x:c r="U4" s="26" t="str">
        <x:v>9</x:v>
      </x:c>
      <x:c r="V4" s="33" t="str">
        <x:v>Biostrap RPM; cloud pipeline; API; Bluetooth SDK</x:v>
      </x:c>
      <x:c r="W4" s="33" t="str">
        <x:v>Raw PPG/IBI access is contract dependent; current Kairos materials do not confirm EDA, ECG, BP, or skin temperature</x:v>
      </x:c>
      <x:c r="X4" s="33" t="str">
        <x:v>BIO01;BIO02;BIO03;VAL10</x:v>
      </x:c>
      <x:c r="Y4" s="32" t="n">
        <x:f>E4*'Codebook'!$B$5+F4*'Codebook'!$B$6+G4*'Codebook'!$B$7+H4*'Codebook'!$B$8+I4*'Codebook'!$B$9+J4*'Codebook'!$B$10+K4*'Codebook'!$B$11+L4*'Codebook'!$B$12+M4*'Codebook'!$B$13+N4*'Codebook'!$B$14+O4*'Codebook'!$B$15</x:f>
        <x:v>30.5</x:v>
      </x:c>
      <x:c r="Z4" s="32" t="n">
        <x:f>P4*'Codebook'!$E$5+Q4*'Codebook'!$E$6+R4*'Codebook'!$E$7+S4*'Codebook'!$E$8+T4*'Codebook'!$E$9</x:f>
        <x:v>29</x:v>
      </x:c>
      <x:c r="AA4" s="32" t="n">
        <x:f>Y4+Z4</x:f>
        <x:v>59.5</x:v>
      </x:c>
      <x:c r="AB4" s="32" t="n">
        <x:f>AA4-$AA$2</x:f>
        <x:v>15.5</x:v>
      </x:c>
      <x:c r="AC4" s="33" t="str">
        <x:f>IF(AA4&gt;=70,"High data potential",IF(AA4&gt;=50,"Pilot potential","Comparator"))</x:f>
        <x:v>Pilot potential</x:v>
      </x:c>
      <x:c r="AD4" s="33" t="str">
        <x:v>Bench now</x:v>
      </x:c>
    </x:row>
    <x:row r="5" ht="50" customHeight="1">
      <x:c r="A5" s="26" t="str">
        <x:v>4</x:v>
      </x:c>
      <x:c r="B5" s="33" t="str">
        <x:v>VitalConnect VitalPatch RTM</x:v>
      </x:c>
      <x:c r="C5" s="33" t="str">
        <x:v>United States</x:v>
      </x:c>
      <x:c r="D5" s="33" t="str">
        <x:v>chest patch — clinical signal reference</x:v>
      </x:c>
      <x:c r="E5" s="30" t="str">
        <x:v>1</x:v>
      </x:c>
      <x:c r="F5" s="30" t="str">
        <x:v>1</x:v>
      </x:c>
      <x:c r="G5" s="30" t="str">
        <x:v>0</x:v>
      </x:c>
      <x:c r="H5" s="30" t="str">
        <x:v>1</x:v>
      </x:c>
      <x:c r="I5" s="30" t="str">
        <x:v>0</x:v>
      </x:c>
      <x:c r="J5" s="30" t="str">
        <x:v>0</x:v>
      </x:c>
      <x:c r="K5" s="30" t="str">
        <x:v>0</x:v>
      </x:c>
      <x:c r="L5" s="30" t="str">
        <x:v>1</x:v>
      </x:c>
      <x:c r="M5" s="30" t="str">
        <x:v>0</x:v>
      </x:c>
      <x:c r="N5" s="30" t="str">
        <x:v>1</x:v>
      </x:c>
      <x:c r="O5" s="30" t="str">
        <x:v>1</x:v>
      </x:c>
      <x:c r="P5" s="30" t="str">
        <x:v>1</x:v>
      </x:c>
      <x:c r="Q5" s="30" t="str">
        <x:v>1</x:v>
      </x:c>
      <x:c r="R5" s="30" t="str">
        <x:v>1</x:v>
      </x:c>
      <x:c r="S5" s="30" t="str">
        <x:v>1</x:v>
      </x:c>
      <x:c r="T5" s="30" t="str">
        <x:v>1</x:v>
      </x:c>
      <x:c r="U5" s="26" t="str"/>
      <x:c r="V5" s="33" t="str">
        <x:v>VitalConnect Platform; Relay Software Library APIs; VistaCenter CSV</x:v>
      </x:c>
      <x:c r="W5" s="33" t="str">
        <x:v>Chest placement is not a watch; no BP, SpO2, or EDA from the patch itself; validate adhesive tolerance and workflow integration</x:v>
      </x:c>
      <x:c r="X5" s="33" t="str">
        <x:v>VIT01;VIT02;VAL07;VAL08</x:v>
      </x:c>
      <x:c r="Y5" s="32" t="n">
        <x:f>E5*'Codebook'!$B$5+F5*'Codebook'!$B$6+G5*'Codebook'!$B$7+H5*'Codebook'!$B$8+I5*'Codebook'!$B$9+J5*'Codebook'!$B$10+K5*'Codebook'!$B$11+L5*'Codebook'!$B$12+M5*'Codebook'!$B$13+N5*'Codebook'!$B$14+O5*'Codebook'!$B$15</x:f>
        <x:v>25</x:v>
      </x:c>
      <x:c r="Z5" s="32" t="n">
        <x:f>P5*'Codebook'!$E$5+Q5*'Codebook'!$E$6+R5*'Codebook'!$E$7+S5*'Codebook'!$E$8+T5*'Codebook'!$E$9</x:f>
        <x:v>35</x:v>
      </x:c>
      <x:c r="AA5" s="32" t="n">
        <x:f>Y5+Z5</x:f>
        <x:v>60</x:v>
      </x:c>
      <x:c r="AB5" s="32" t="n">
        <x:f>AA5-$AA$2</x:f>
        <x:v>16</x:v>
      </x:c>
      <x:c r="AC5" s="33" t="str">
        <x:f>IF(AA5&gt;=70,"High data potential",IF(AA5&gt;=50,"Pilot potential","Comparator"))</x:f>
        <x:v>Pilot potential</x:v>
      </x:c>
      <x:c r="AD5" s="33" t="str">
        <x:v>Bench now</x:v>
      </x:c>
    </x:row>
    <x:row r="6" ht="50" customHeight="1">
      <x:c r="A6" s="26" t="str">
        <x:v>5</x:v>
      </x:c>
      <x:c r="B6" s="33" t="str">
        <x:v>Google Pixel Watch 4</x:v>
      </x:c>
      <x:c r="C6" s="33" t="str">
        <x:v>United States</x:v>
      </x:c>
      <x:c r="D6" s="33" t="str">
        <x:v>watch — Android comparator</x:v>
      </x:c>
      <x:c r="E6" s="30" t="str">
        <x:v>1</x:v>
      </x:c>
      <x:c r="F6" s="30" t="str">
        <x:v>0.5</x:v>
      </x:c>
      <x:c r="G6" s="30" t="str">
        <x:v>0</x:v>
      </x:c>
      <x:c r="H6" s="30" t="str">
        <x:v>0.5</x:v>
      </x:c>
      <x:c r="I6" s="30" t="str">
        <x:v>0</x:v>
      </x:c>
      <x:c r="J6" s="30" t="str">
        <x:v>0</x:v>
      </x:c>
      <x:c r="K6" s="30" t="str">
        <x:v>0.5</x:v>
      </x:c>
      <x:c r="L6" s="30" t="str">
        <x:v>0.5</x:v>
      </x:c>
      <x:c r="M6" s="30" t="str">
        <x:v>1</x:v>
      </x:c>
      <x:c r="N6" s="30" t="str">
        <x:v>0.5</x:v>
      </x:c>
      <x:c r="O6" s="30" t="str">
        <x:v>1</x:v>
      </x:c>
      <x:c r="P6" s="30" t="str">
        <x:v>1</x:v>
      </x:c>
      <x:c r="Q6" s="30" t="str">
        <x:v>0.5</x:v>
      </x:c>
      <x:c r="R6" s="30" t="str">
        <x:v>0</x:v>
      </x:c>
      <x:c r="S6" s="30" t="str">
        <x:v>1</x:v>
      </x:c>
      <x:c r="T6" s="30" t="str">
        <x:v>1</x:v>
      </x:c>
      <x:c r="U6" s="26" t="str">
        <x:v>1.7</x:v>
      </x:c>
      <x:c r="V6" s="33" t="str">
        <x:v>Wear OS Health Services; Fitbit Web API; Health Connect; account export</x:v>
      </x:c>
      <x:c r="W6" s="33" t="str">
        <x:v>Live access is processed HR; passive updates may be batched; no public raw PPG or EDA export</x:v>
      </x:c>
      <x:c r="X6" s="33" t="str">
        <x:v>GOO01;GOO03;GOO04</x:v>
      </x:c>
      <x:c r="Y6" s="32" t="n">
        <x:f>E6*'Codebook'!$B$5+F6*'Codebook'!$B$6+G6*'Codebook'!$B$7+H6*'Codebook'!$B$8+I6*'Codebook'!$B$9+J6*'Codebook'!$B$10+K6*'Codebook'!$B$11+L6*'Codebook'!$B$12+M6*'Codebook'!$B$13+N6*'Codebook'!$B$14+O6*'Codebook'!$B$15</x:f>
        <x:v>26</x:v>
      </x:c>
      <x:c r="Z6" s="32" t="n">
        <x:f>P6*'Codebook'!$E$5+Q6*'Codebook'!$E$6+R6*'Codebook'!$E$7+S6*'Codebook'!$E$8+T6*'Codebook'!$E$9</x:f>
        <x:v>21</x:v>
      </x:c>
      <x:c r="AA6" s="32" t="n">
        <x:f>Y6+Z6</x:f>
        <x:v>47</x:v>
      </x:c>
      <x:c r="AB6" s="32" t="n">
        <x:f>AA6-$AA$2</x:f>
        <x:v>3</x:v>
      </x:c>
      <x:c r="AC6" s="33" t="str">
        <x:f>IF(AA6&gt;=70,"High data potential",IF(AA6&gt;=50,"Pilot potential","Comparator"))</x:f>
        <x:v>Comparator</x:v>
      </x:c>
      <x:c r="AD6" s="33" t="str">
        <x:v>Comparator</x:v>
      </x:c>
    </x:row>
    <x:row r="7" ht="50" customHeight="1">
      <x:c r="A7" s="26" t="str">
        <x:v>6</x:v>
      </x:c>
      <x:c r="B7" s="33" t="str">
        <x:v>Fitbit Sense 2</x:v>
      </x:c>
      <x:c r="C7" s="33" t="str">
        <x:v>United States</x:v>
      </x:c>
      <x:c r="D7" s="33" t="str">
        <x:v>watch — consumer comparator</x:v>
      </x:c>
      <x:c r="E7" s="30" t="str">
        <x:v>1</x:v>
      </x:c>
      <x:c r="F7" s="30" t="str">
        <x:v>0.5</x:v>
      </x:c>
      <x:c r="G7" s="30" t="str">
        <x:v>0</x:v>
      </x:c>
      <x:c r="H7" s="30" t="str">
        <x:v>0.5</x:v>
      </x:c>
      <x:c r="I7" s="30" t="str">
        <x:v>0</x:v>
      </x:c>
      <x:c r="J7" s="30" t="str">
        <x:v>0</x:v>
      </x:c>
      <x:c r="K7" s="30" t="str">
        <x:v>0.5</x:v>
      </x:c>
      <x:c r="L7" s="30" t="str">
        <x:v>0.5</x:v>
      </x:c>
      <x:c r="M7" s="30" t="str">
        <x:v>1</x:v>
      </x:c>
      <x:c r="N7" s="30" t="str">
        <x:v>0.5</x:v>
      </x:c>
      <x:c r="O7" s="30" t="str">
        <x:v>1</x:v>
      </x:c>
      <x:c r="P7" s="30" t="str">
        <x:v>1</x:v>
      </x:c>
      <x:c r="Q7" s="30" t="str">
        <x:v>0</x:v>
      </x:c>
      <x:c r="R7" s="30" t="str">
        <x:v>0</x:v>
      </x:c>
      <x:c r="S7" s="30" t="str">
        <x:v>0.5</x:v>
      </x:c>
      <x:c r="T7" s="30" t="str">
        <x:v>1</x:v>
      </x:c>
      <x:c r="U7" s="26" t="str">
        <x:v>6</x:v>
      </x:c>
      <x:c r="V7" s="33" t="str">
        <x:v>Fitbit Web API; account archive</x:v>
      </x:c>
      <x:c r="W7" s="33" t="str">
        <x:v>No research-grade live raw stream; multi-user intraday access needs approval; ECG, SpO2, and temperature are not continuous raw feeds</x:v>
      </x:c>
      <x:c r="X7" s="33" t="str">
        <x:v>FIT01;FIT03;FIT04;VAL01;VAL02</x:v>
      </x:c>
      <x:c r="Y7" s="32" t="n">
        <x:f>E7*'Codebook'!$B$5+F7*'Codebook'!$B$6+G7*'Codebook'!$B$7+H7*'Codebook'!$B$8+I7*'Codebook'!$B$9+J7*'Codebook'!$B$10+K7*'Codebook'!$B$11+L7*'Codebook'!$B$12+M7*'Codebook'!$B$13+N7*'Codebook'!$B$14+O7*'Codebook'!$B$15</x:f>
        <x:v>26</x:v>
      </x:c>
      <x:c r="Z7" s="32" t="n">
        <x:f>P7*'Codebook'!$E$5+Q7*'Codebook'!$E$6+R7*'Codebook'!$E$7+S7*'Codebook'!$E$8+T7*'Codebook'!$E$9</x:f>
        <x:v>11.5</x:v>
      </x:c>
      <x:c r="AA7" s="32" t="n">
        <x:f>Y7+Z7</x:f>
        <x:v>37.5</x:v>
      </x:c>
      <x:c r="AB7" s="32" t="n">
        <x:f>AA7-$AA$2</x:f>
        <x:v>-6.5</x:v>
      </x:c>
      <x:c r="AC7" s="33" t="str">
        <x:f>IF(AA7&gt;=70,"High data potential",IF(AA7&gt;=50,"Pilot potential","Comparator"))</x:f>
        <x:v>Comparator</x:v>
      </x:c>
      <x:c r="AD7" s="33" t="str">
        <x:v>Comparator</x:v>
      </x:c>
    </x:row>
    <x:row r="8" ht="50" customHeight="1">
      <x:c r="A8" s="26" t="str">
        <x:v>7</x:v>
      </x:c>
      <x:c r="B8" s="33" t="str">
        <x:v>Garmin Venu 4</x:v>
      </x:c>
      <x:c r="C8" s="33" t="str">
        <x:v>United States operational headquarters</x:v>
      </x:c>
      <x:c r="D8" s="33" t="str">
        <x:v>watch — enterprise SDK comparator</x:v>
      </x:c>
      <x:c r="E8" s="30" t="str">
        <x:v>1</x:v>
      </x:c>
      <x:c r="F8" s="30" t="str">
        <x:v>1</x:v>
      </x:c>
      <x:c r="G8" s="30" t="str">
        <x:v>0</x:v>
      </x:c>
      <x:c r="H8" s="30" t="str">
        <x:v>0.5</x:v>
      </x:c>
      <x:c r="I8" s="30" t="str">
        <x:v>0</x:v>
      </x:c>
      <x:c r="J8" s="30" t="str">
        <x:v>0</x:v>
      </x:c>
      <x:c r="K8" s="30" t="str">
        <x:v>0.5</x:v>
      </x:c>
      <x:c r="L8" s="30" t="str">
        <x:v>1</x:v>
      </x:c>
      <x:c r="M8" s="30" t="str">
        <x:v>0</x:v>
      </x:c>
      <x:c r="N8" s="30" t="str">
        <x:v>1</x:v>
      </x:c>
      <x:c r="O8" s="30" t="str">
        <x:v>1</x:v>
      </x:c>
      <x:c r="P8" s="30" t="str">
        <x:v>1</x:v>
      </x:c>
      <x:c r="Q8" s="30" t="str">
        <x:v>0.5</x:v>
      </x:c>
      <x:c r="R8" s="30" t="str">
        <x:v>0.5</x:v>
      </x:c>
      <x:c r="S8" s="30" t="str">
        <x:v>0.5</x:v>
      </x:c>
      <x:c r="T8" s="30" t="str">
        <x:v>1</x:v>
      </x:c>
      <x:c r="U8" s="26" t="str">
        <x:v>12</x:v>
      </x:c>
      <x:c r="V8" s="33" t="str">
        <x:v>Garmin Health SDK/API; Garmin Connect export</x:v>
      </x:c>
      <x:c r="W8" s="33" t="str">
        <x:v>Enterprise licensing and approval; live data are largely processed rather than raw optical waveforms</x:v>
      </x:c>
      <x:c r="X8" s="33" t="str">
        <x:v>GAR01;GAR03;GAR04;VAL02</x:v>
      </x:c>
      <x:c r="Y8" s="32" t="n">
        <x:f>E8*'Codebook'!$B$5+F8*'Codebook'!$B$6+G8*'Codebook'!$B$7+H8*'Codebook'!$B$8+I8*'Codebook'!$B$9+J8*'Codebook'!$B$10+K8*'Codebook'!$B$11+L8*'Codebook'!$B$12+M8*'Codebook'!$B$13+N8*'Codebook'!$B$14+O8*'Codebook'!$B$15</x:f>
        <x:v>25</x:v>
      </x:c>
      <x:c r="Z8" s="32" t="n">
        <x:f>P8*'Codebook'!$E$5+Q8*'Codebook'!$E$6+R8*'Codebook'!$E$7+S8*'Codebook'!$E$8+T8*'Codebook'!$E$9</x:f>
        <x:v>21.5</x:v>
      </x:c>
      <x:c r="AA8" s="32" t="n">
        <x:f>Y8+Z8</x:f>
        <x:v>46.5</x:v>
      </x:c>
      <x:c r="AB8" s="32" t="n">
        <x:f>AA8-$AA$2</x:f>
        <x:v>2.5</x:v>
      </x:c>
      <x:c r="AC8" s="33" t="str">
        <x:f>IF(AA8&gt;=70,"High data potential",IF(AA8&gt;=50,"Pilot potential","Comparator"))</x:f>
        <x:v>Comparator</x:v>
      </x:c>
      <x:c r="AD8" s="33" t="str">
        <x:v>Vendor diligence</x:v>
      </x:c>
    </x:row>
    <x:row r="9" ht="50" customHeight="1">
      <x:c r="A9" s="26" t="str">
        <x:v>8</x:v>
      </x:c>
      <x:c r="B9" s="33" t="str">
        <x:v>WHOOP MG</x:v>
      </x:c>
      <x:c r="C9" s="33" t="str">
        <x:v>United States</x:v>
      </x:c>
      <x:c r="D9" s="33" t="str">
        <x:v>band — longitudinal baseline</x:v>
      </x:c>
      <x:c r="E9" s="30" t="str">
        <x:v>1</x:v>
      </x:c>
      <x:c r="F9" s="30" t="str">
        <x:v>0.5</x:v>
      </x:c>
      <x:c r="G9" s="30" t="str">
        <x:v>0</x:v>
      </x:c>
      <x:c r="H9" s="30" t="str">
        <x:v>0.5</x:v>
      </x:c>
      <x:c r="I9" s="30" t="str">
        <x:v>0.5</x:v>
      </x:c>
      <x:c r="J9" s="30" t="str">
        <x:v>0</x:v>
      </x:c>
      <x:c r="K9" s="30" t="str">
        <x:v>0.5</x:v>
      </x:c>
      <x:c r="L9" s="30" t="str">
        <x:v>0.5</x:v>
      </x:c>
      <x:c r="M9" s="30" t="str">
        <x:v>0</x:v>
      </x:c>
      <x:c r="N9" s="30" t="str">
        <x:v>0.5</x:v>
      </x:c>
      <x:c r="O9" s="30" t="str">
        <x:v>1</x:v>
      </x:c>
      <x:c r="P9" s="30" t="str">
        <x:v>1</x:v>
      </x:c>
      <x:c r="Q9" s="30" t="str">
        <x:v>0</x:v>
      </x:c>
      <x:c r="R9" s="30" t="str">
        <x:v>0</x:v>
      </x:c>
      <x:c r="S9" s="30" t="str">
        <x:v>1</x:v>
      </x:c>
      <x:c r="T9" s="30" t="str">
        <x:v>1</x:v>
      </x:c>
      <x:c r="U9" s="26" t="str">
        <x:v>14</x:v>
      </x:c>
      <x:c r="V9" s="33" t="str">
        <x:v>WHOOP API; CSV account export</x:v>
      </x:c>
      <x:c r="W9" s="33" t="str">
        <x:v>API is mainly aggregate; BP is a daily cuff-calibrated resting estimate; no public raw PPG or IBI stream</x:v>
      </x:c>
      <x:c r="X9" s="33" t="str">
        <x:v>WHO01;WHO03;WHO04;VAL02</x:v>
      </x:c>
      <x:c r="Y9" s="32" t="n">
        <x:f>E9*'Codebook'!$B$5+F9*'Codebook'!$B$6+G9*'Codebook'!$B$7+H9*'Codebook'!$B$8+I9*'Codebook'!$B$9+J9*'Codebook'!$B$10+K9*'Codebook'!$B$11+L9*'Codebook'!$B$12+M9*'Codebook'!$B$13+N9*'Codebook'!$B$14+O9*'Codebook'!$B$15</x:f>
        <x:v>21.5</x:v>
      </x:c>
      <x:c r="Z9" s="32" t="n">
        <x:f>P9*'Codebook'!$E$5+Q9*'Codebook'!$E$6+R9*'Codebook'!$E$7+S9*'Codebook'!$E$8+T9*'Codebook'!$E$9</x:f>
        <x:v>15</x:v>
      </x:c>
      <x:c r="AA9" s="32" t="n">
        <x:f>Y9+Z9</x:f>
        <x:v>36.5</x:v>
      </x:c>
      <x:c r="AB9" s="32" t="n">
        <x:f>AA9-$AA$2</x:f>
        <x:v>-7.5</x:v>
      </x:c>
      <x:c r="AC9" s="33" t="str">
        <x:f>IF(AA9&gt;=70,"High data potential",IF(AA9&gt;=50,"Pilot potential","Comparator"))</x:f>
        <x:v>Comparator</x:v>
      </x:c>
      <x:c r="AD9" s="33" t="str">
        <x:v>Baseline only</x:v>
      </x:c>
    </x:row>
    <x:row r="10" ht="50" customHeight="1">
      <x:c r="A10" s="26" t="str">
        <x:v>9</x:v>
      </x:c>
      <x:c r="B10" s="33" t="str">
        <x:v>BioIntelliSense BioButton Rechargeable</x:v>
      </x:c>
      <x:c r="C10" s="33" t="str">
        <x:v>United States</x:v>
      </x:c>
      <x:c r="D10" s="33" t="str">
        <x:v>chest wearable — ward-monitoring comparator</x:v>
      </x:c>
      <x:c r="E10" s="30" t="str">
        <x:v>1</x:v>
      </x:c>
      <x:c r="F10" s="30" t="str">
        <x:v>0</x:v>
      </x:c>
      <x:c r="G10" s="30" t="str">
        <x:v>0</x:v>
      </x:c>
      <x:c r="H10" s="30" t="str">
        <x:v>0</x:v>
      </x:c>
      <x:c r="I10" s="30" t="str">
        <x:v>0</x:v>
      </x:c>
      <x:c r="J10" s="30" t="str">
        <x:v>0</x:v>
      </x:c>
      <x:c r="K10" s="30" t="str">
        <x:v>0</x:v>
      </x:c>
      <x:c r="L10" s="30" t="str">
        <x:v>1</x:v>
      </x:c>
      <x:c r="M10" s="30" t="str">
        <x:v>0</x:v>
      </x:c>
      <x:c r="N10" s="30" t="str">
        <x:v>1</x:v>
      </x:c>
      <x:c r="O10" s="30" t="str">
        <x:v>1</x:v>
      </x:c>
      <x:c r="P10" s="30" t="str">
        <x:v>1</x:v>
      </x:c>
      <x:c r="Q10" s="30" t="str">
        <x:v>0.5</x:v>
      </x:c>
      <x:c r="R10" s="30" t="str">
        <x:v>0</x:v>
      </x:c>
      <x:c r="S10" s="30" t="str">
        <x:v>0.5</x:v>
      </x:c>
      <x:c r="T10" s="30" t="str">
        <x:v>0.5</x:v>
      </x:c>
      <x:c r="U10" s="26" t="str">
        <x:v>10</x:v>
      </x:c>
      <x:c r="V10" s="33" t="str">
        <x:v>BioMobile/BioHub; BioCloud; BioDashboard; EMR integration</x:v>
      </x:c>
      <x:c r="W10" s="33" t="str">
        <x:v>HR and RR are reported at rest and may be suppressed during motion; no public raw waveform or study SDK contract</x:v>
      </x:c>
      <x:c r="X10" s="33" t="str">
        <x:v>BBT01;BBT02;VAL06</x:v>
      </x:c>
      <x:c r="Y10" s="32" t="n">
        <x:f>E10*'Codebook'!$B$5+F10*'Codebook'!$B$6+G10*'Codebook'!$B$7+H10*'Codebook'!$B$8+I10*'Codebook'!$B$9+J10*'Codebook'!$B$10+K10*'Codebook'!$B$11+L10*'Codebook'!$B$12+M10*'Codebook'!$B$13+N10*'Codebook'!$B$14+O10*'Codebook'!$B$15</x:f>
        <x:v>15</x:v>
      </x:c>
      <x:c r="Z10" s="32" t="n">
        <x:f>P10*'Codebook'!$E$5+Q10*'Codebook'!$E$6+R10*'Codebook'!$E$7+S10*'Codebook'!$E$8+T10*'Codebook'!$E$9</x:f>
        <x:v>16</x:v>
      </x:c>
      <x:c r="AA10" s="32" t="n">
        <x:f>Y10+Z10</x:f>
        <x:v>31</x:v>
      </x:c>
      <x:c r="AB10" s="32" t="n">
        <x:f>AA10-$AA$2</x:f>
        <x:v>-13</x:v>
      </x:c>
      <x:c r="AC10" s="33" t="str">
        <x:f>IF(AA10&gt;=70,"High data potential",IF(AA10&gt;=50,"Pilot potential","Comparator"))</x:f>
        <x:v>Comparator</x:v>
      </x:c>
      <x:c r="AD10" s="33" t="str">
        <x:v>Not acute-primary</x:v>
      </x:c>
    </x:row>
    <x:row r="11" ht="50" customHeight="1">
      <x:c r="A11" s="26" t="str">
        <x:v>10</x:v>
      </x:c>
      <x:c r="B11" s="33" t="str">
        <x:v>Masimo W1 Medical</x:v>
      </x:c>
      <x:c r="C11" s="33" t="str">
        <x:v>United States</x:v>
      </x:c>
      <x:c r="D11" s="33" t="str">
        <x:v>watch — medical SpO2 comparator</x:v>
      </x:c>
      <x:c r="E11" s="30" t="str">
        <x:v>1</x:v>
      </x:c>
      <x:c r="F11" s="30" t="str">
        <x:v>0.5</x:v>
      </x:c>
      <x:c r="G11" s="30" t="str">
        <x:v>0</x:v>
      </x:c>
      <x:c r="H11" s="30" t="str">
        <x:v>0.5</x:v>
      </x:c>
      <x:c r="I11" s="30" t="str">
        <x:v>0</x:v>
      </x:c>
      <x:c r="J11" s="30" t="str">
        <x:v>0</x:v>
      </x:c>
      <x:c r="K11" s="30" t="str">
        <x:v>1</x:v>
      </x:c>
      <x:c r="L11" s="30" t="str">
        <x:v>0</x:v>
      </x:c>
      <x:c r="M11" s="30" t="str">
        <x:v>0</x:v>
      </x:c>
      <x:c r="N11" s="30" t="str">
        <x:v>0</x:v>
      </x:c>
      <x:c r="O11" s="30" t="str">
        <x:v>1</x:v>
      </x:c>
      <x:c r="P11" s="30" t="str">
        <x:v>1</x:v>
      </x:c>
      <x:c r="Q11" s="30" t="str">
        <x:v>0.5</x:v>
      </x:c>
      <x:c r="R11" s="30" t="str">
        <x:v>0</x:v>
      </x:c>
      <x:c r="S11" s="30" t="str">
        <x:v>0.5</x:v>
      </x:c>
      <x:c r="T11" s="30" t="str">
        <x:v>0.5</x:v>
      </x:c>
      <x:c r="U11" s="26" t="str">
        <x:v>1</x:v>
      </x:c>
      <x:c r="V11" s="33" t="str">
        <x:v>Masimo W1 UI; Masimo SafetyNet pathway by contract</x:v>
      </x:c>
      <x:c r="W11" s="33" t="str">
        <x:v>Strong SpO2/PR positioning, but no public raw optical stream or open research API; ECG is spot-check</x:v>
      </x:c>
      <x:c r="X11" s="33" t="str">
        <x:v>MAS01;VAL11</x:v>
      </x:c>
      <x:c r="Y11" s="32" t="n">
        <x:f>E11*'Codebook'!$B$5+F11*'Codebook'!$B$6+G11*'Codebook'!$B$7+H11*'Codebook'!$B$8+I11*'Codebook'!$B$9+J11*'Codebook'!$B$10+K11*'Codebook'!$B$11+L11*'Codebook'!$B$12+M11*'Codebook'!$B$13+N11*'Codebook'!$B$14+O11*'Codebook'!$B$15</x:f>
        <x:v>18</x:v>
      </x:c>
      <x:c r="Z11" s="32" t="n">
        <x:f>P11*'Codebook'!$E$5+Q11*'Codebook'!$E$6+R11*'Codebook'!$E$7+S11*'Codebook'!$E$8+T11*'Codebook'!$E$9</x:f>
        <x:v>16</x:v>
      </x:c>
      <x:c r="AA11" s="32" t="n">
        <x:f>Y11+Z11</x:f>
        <x:v>34</x:v>
      </x:c>
      <x:c r="AB11" s="32" t="n">
        <x:f>AA11-$AA$2</x:f>
        <x:v>-10</x:v>
      </x:c>
      <x:c r="AC11" s="33" t="str">
        <x:f>IF(AA11&gt;=70,"High data potential",IF(AA11&gt;=50,"Pilot potential","Comparator"))</x:f>
        <x:v>Comparator</x:v>
      </x:c>
      <x:c r="AD11" s="33" t="str">
        <x:v>Vendor diligence</x:v>
      </x:c>
    </x:row>
    <x:row r="12" ht="50" customHeight="1">
      <x:c r="A12" s="26" t="str">
        <x:v>11</x:v>
      </x:c>
      <x:c r="B12" s="33" t="str">
        <x:v>iRhythm Zio AT</x:v>
      </x:c>
      <x:c r="C12" s="33" t="str">
        <x:v>United States</x:v>
      </x:c>
      <x:c r="D12" s="33" t="str">
        <x:v>chest patch — ambulatory ECG comparator</x:v>
      </x:c>
      <x:c r="E12" s="30" t="str">
        <x:v>1</x:v>
      </x:c>
      <x:c r="F12" s="30" t="str">
        <x:v>1</x:v>
      </x:c>
      <x:c r="G12" s="30" t="str">
        <x:v>0</x:v>
      </x:c>
      <x:c r="H12" s="30" t="str">
        <x:v>1</x:v>
      </x:c>
      <x:c r="I12" s="30" t="str">
        <x:v>0</x:v>
      </x:c>
      <x:c r="J12" s="30" t="str">
        <x:v>0</x:v>
      </x:c>
      <x:c r="K12" s="30" t="str">
        <x:v>0</x:v>
      </x:c>
      <x:c r="L12" s="30" t="str">
        <x:v>0</x:v>
      </x:c>
      <x:c r="M12" s="30" t="str">
        <x:v>0</x:v>
      </x:c>
      <x:c r="N12" s="30" t="str">
        <x:v>0</x:v>
      </x:c>
      <x:c r="O12" s="30" t="str">
        <x:v>0.5</x:v>
      </x:c>
      <x:c r="P12" s="30" t="str">
        <x:v>1</x:v>
      </x:c>
      <x:c r="Q12" s="30" t="str">
        <x:v>0.5</x:v>
      </x:c>
      <x:c r="R12" s="30" t="str">
        <x:v>0.5</x:v>
      </x:c>
      <x:c r="S12" s="30" t="str">
        <x:v>0.5</x:v>
      </x:c>
      <x:c r="T12" s="30" t="str">
        <x:v>0.5</x:v>
      </x:c>
      <x:c r="U12" s="26" t="str">
        <x:v>14</x:v>
      </x:c>
      <x:c r="V12" s="33" t="str">
        <x:v>Zio AT gateway; Zio ECG Utilization Service; ZioSuite reports</x:v>
      </x:c>
      <x:c r="W12" s="33" t="str">
        <x:v>Continuous ECG recording and event transmission do not equal an open raw research stream; labeling excludes critical-care use</x:v>
      </x:c>
      <x:c r="X12" s="33" t="str">
        <x:v>ZIO01;ZIO02</x:v>
      </x:c>
      <x:c r="Y12" s="32" t="n">
        <x:f>E12*'Codebook'!$B$5+F12*'Codebook'!$B$6+G12*'Codebook'!$B$7+H12*'Codebook'!$B$8+I12*'Codebook'!$B$9+J12*'Codebook'!$B$10+K12*'Codebook'!$B$11+L12*'Codebook'!$B$12+M12*'Codebook'!$B$13+N12*'Codebook'!$B$14+O12*'Codebook'!$B$15</x:f>
        <x:v>17.5</x:v>
      </x:c>
      <x:c r="Z12" s="32" t="n">
        <x:f>P12*'Codebook'!$E$5+Q12*'Codebook'!$E$6+R12*'Codebook'!$E$7+S12*'Codebook'!$E$8+T12*'Codebook'!$E$9</x:f>
        <x:v>20</x:v>
      </x:c>
      <x:c r="AA12" s="32" t="n">
        <x:f>Y12+Z12</x:f>
        <x:v>37.5</x:v>
      </x:c>
      <x:c r="AB12" s="32" t="n">
        <x:f>AA12-$AA$2</x:f>
        <x:v>-6.5</x:v>
      </x:c>
      <x:c r="AC12" s="33" t="str">
        <x:f>IF(AA12&gt;=70,"High data potential",IF(AA12&gt;=50,"Pilot potential","Comparator"))</x:f>
        <x:v>Comparator</x:v>
      </x:c>
      <x:c r="AD12" s="33" t="str">
        <x:v>Cardiac comparator</x:v>
      </x:c>
    </x:row>
    <x:row r="13" ht="50" customHeight="1">
      <x:c r="A13" s="38" t="str">
        <x:v>12</x:v>
      </x:c>
      <x:c r="B13" s="39" t="str">
        <x:v>Samsung Galaxy Watch8</x:v>
      </x:c>
      <x:c r="C13" s="39" t="str">
        <x:v>South Korea</x:v>
      </x:c>
      <x:c r="D13" s="39" t="str">
        <x:v>watch — non-US direct-evidence benchmark</x:v>
      </x:c>
      <x:c r="E13" s="40" t="str">
        <x:v>1</x:v>
      </x:c>
      <x:c r="F13" s="40" t="str">
        <x:v>1</x:v>
      </x:c>
      <x:c r="G13" s="40" t="str">
        <x:v>1</x:v>
      </x:c>
      <x:c r="H13" s="40" t="str">
        <x:v>0.5</x:v>
      </x:c>
      <x:c r="I13" s="40" t="str">
        <x:v>0.5</x:v>
      </x:c>
      <x:c r="J13" s="40" t="str">
        <x:v>0</x:v>
      </x:c>
      <x:c r="K13" s="40" t="str">
        <x:v>0.5</x:v>
      </x:c>
      <x:c r="L13" s="40" t="str">
        <x:v>1</x:v>
      </x:c>
      <x:c r="M13" s="40" t="str">
        <x:v>1</x:v>
      </x:c>
      <x:c r="N13" s="40" t="str">
        <x:v>0.5</x:v>
      </x:c>
      <x:c r="O13" s="40" t="str">
        <x:v>1</x:v>
      </x:c>
      <x:c r="P13" s="40" t="str">
        <x:v>1</x:v>
      </x:c>
      <x:c r="Q13" s="40" t="str">
        <x:v>1</x:v>
      </x:c>
      <x:c r="R13" s="40" t="str">
        <x:v>1</x:v>
      </x:c>
      <x:c r="S13" s="40" t="str">
        <x:v>0.5</x:v>
      </x:c>
      <x:c r="T13" s="40" t="str">
        <x:v>1</x:v>
      </x:c>
      <x:c r="U13" s="38" t="str">
        <x:v>1.7</x:v>
      </x:c>
      <x:c r="V13" s="39" t="str">
        <x:v>Samsung Health Sensor SDK; Health Data SDK; account export</x:v>
      </x:c>
      <x:c r="W13" s="39" t="str">
        <x:v>Commercial distribution needs Samsung partner approval; BP is cuff-calibrated and not continuous; non-US benchmark retained because of direct VVS PPG evidence</x:v>
      </x:c>
      <x:c r="X13" s="39" t="str">
        <x:v>SAM02;SAM03;SAM04;VVS01</x:v>
      </x:c>
      <x:c r="Y13" s="41" t="n">
        <x:f>E13*'Codebook'!$B$5+F13*'Codebook'!$B$6+G13*'Codebook'!$B$7+H13*'Codebook'!$B$8+I13*'Codebook'!$B$9+J13*'Codebook'!$B$10+K13*'Codebook'!$B$11+L13*'Codebook'!$B$12+M13*'Codebook'!$B$13+N13*'Codebook'!$B$14+O13*'Codebook'!$B$15</x:f>
        <x:v>43.5</x:v>
      </x:c>
      <x:c r="Z13" s="41" t="n">
        <x:f>P13*'Codebook'!$E$5+Q13*'Codebook'!$E$6+R13*'Codebook'!$E$7+S13*'Codebook'!$E$8+T13*'Codebook'!$E$9</x:f>
        <x:v>31.5</x:v>
      </x:c>
      <x:c r="AA13" s="41" t="n">
        <x:f>Y13+Z13</x:f>
        <x:v>75</x:v>
      </x:c>
      <x:c r="AB13" s="41" t="n">
        <x:f>AA13-$AA$2</x:f>
        <x:v>31</x:v>
      </x:c>
      <x:c r="AC13" s="39" t="str">
        <x:f>IF(AA13&gt;=70,"High data potential",IF(AA13&gt;=50,"Pilot potential","Comparator"))</x:f>
        <x:v>High data potential</x:v>
      </x:c>
      <x:c r="AD13" s="39" t="str">
        <x:v>Evidence control</x:v>
      </x:c>
    </x:row>
    <x:row r="14" ht="50" customHeight="1">
      <x:c r="A14" s="26" t="str">
        <x:v>13</x:v>
      </x:c>
      <x:c r="B14" s="33" t="str">
        <x:v>Empatica EmbracePlus</x:v>
      </x:c>
      <x:c r="C14" s="33" t="str">
        <x:v>Italy / United States operations</x:v>
      </x:c>
      <x:c r="D14" s="33" t="str">
        <x:v>research watch — non-US autonomic reference</x:v>
      </x:c>
      <x:c r="E14" s="30" t="str">
        <x:v>1</x:v>
      </x:c>
      <x:c r="F14" s="30" t="str">
        <x:v>1</x:v>
      </x:c>
      <x:c r="G14" s="30" t="str">
        <x:v>1</x:v>
      </x:c>
      <x:c r="H14" s="30" t="str">
        <x:v>0</x:v>
      </x:c>
      <x:c r="I14" s="30" t="str">
        <x:v>0</x:v>
      </x:c>
      <x:c r="J14" s="30" t="str">
        <x:v>0</x:v>
      </x:c>
      <x:c r="K14" s="30" t="str">
        <x:v>0.5</x:v>
      </x:c>
      <x:c r="L14" s="30" t="str">
        <x:v>1</x:v>
      </x:c>
      <x:c r="M14" s="30" t="str">
        <x:v>1</x:v>
      </x:c>
      <x:c r="N14" s="30" t="str">
        <x:v>0.5</x:v>
      </x:c>
      <x:c r="O14" s="30" t="str">
        <x:v>1</x:v>
      </x:c>
      <x:c r="P14" s="30" t="str">
        <x:v>1</x:v>
      </x:c>
      <x:c r="Q14" s="30" t="str">
        <x:v>0.5</x:v>
      </x:c>
      <x:c r="R14" s="30" t="str">
        <x:v>1</x:v>
      </x:c>
      <x:c r="S14" s="30" t="str">
        <x:v>1</x:v>
      </x:c>
      <x:c r="T14" s="30" t="str">
        <x:v>1</x:v>
      </x:c>
      <x:c r="U14" s="26" t="str"/>
      <x:c r="V14" s="33" t="str">
        <x:v>Empatica Health Monitoring Platform; cloud API; Avro export</x:v>
      </x:c>
      <x:c r="W14" s="33" t="str">
        <x:v>No BP or ECG; near-real-time latency and plan entitlements require contract confirmation</x:v>
      </x:c>
      <x:c r="X14" s="33" t="str">
        <x:v>EMP01;EMP02;VAL03;VAL04;VAL05</x:v>
      </x:c>
      <x:c r="Y14" s="32" t="n">
        <x:f>E14*'Codebook'!$B$5+F14*'Codebook'!$B$6+G14*'Codebook'!$B$7+H14*'Codebook'!$B$8+I14*'Codebook'!$B$9+J14*'Codebook'!$B$10+K14*'Codebook'!$B$11+L14*'Codebook'!$B$12+M14*'Codebook'!$B$13+N14*'Codebook'!$B$14+O14*'Codebook'!$B$15</x:f>
        <x:v>39.5</x:v>
      </x:c>
      <x:c r="Z14" s="32" t="n">
        <x:f>P14*'Codebook'!$E$5+Q14*'Codebook'!$E$6+R14*'Codebook'!$E$7+S14*'Codebook'!$E$8+T14*'Codebook'!$E$9</x:f>
        <x:v>29</x:v>
      </x:c>
      <x:c r="AA14" s="32" t="n">
        <x:f>Y14+Z14</x:f>
        <x:v>68.5</x:v>
      </x:c>
      <x:c r="AB14" s="32" t="n">
        <x:f>AA14-$AA$2</x:f>
        <x:v>24.5</x:v>
      </x:c>
      <x:c r="AC14" s="33" t="str">
        <x:f>IF(AA14&gt;=70,"High data potential",IF(AA14&gt;=50,"Pilot potential","Comparator"))</x:f>
        <x:v>Pilot potential</x:v>
      </x:c>
      <x:c r="AD14" s="33" t="str">
        <x:v>Autonomic control</x:v>
      </x:c>
    </x:row>
    <x:row r="15" ht="50" customHeight="1">
      <x:c r="A15" s="26" t="str">
        <x:v>14</x:v>
      </x:c>
      <x:c r="B15" s="33" t="str">
        <x:v>Corsano CardioWatch 287-2</x:v>
      </x:c>
      <x:c r="C15" s="33" t="str">
        <x:v>Netherlands</x:v>
      </x:c>
      <x:c r="D15" s="33" t="str">
        <x:v>medical bracelet — non-US BP diligence</x:v>
      </x:c>
      <x:c r="E15" s="30" t="str">
        <x:v>1</x:v>
      </x:c>
      <x:c r="F15" s="30" t="str">
        <x:v>1</x:v>
      </x:c>
      <x:c r="G15" s="30" t="str">
        <x:v>1</x:v>
      </x:c>
      <x:c r="H15" s="30" t="str">
        <x:v>0.5</x:v>
      </x:c>
      <x:c r="I15" s="30" t="str">
        <x:v>1</x:v>
      </x:c>
      <x:c r="J15" s="30" t="str">
        <x:v>1</x:v>
      </x:c>
      <x:c r="K15" s="30" t="str">
        <x:v>1</x:v>
      </x:c>
      <x:c r="L15" s="30" t="str">
        <x:v>1</x:v>
      </x:c>
      <x:c r="M15" s="30" t="str">
        <x:v>1</x:v>
      </x:c>
      <x:c r="N15" s="30" t="str">
        <x:v>1</x:v>
      </x:c>
      <x:c r="O15" s="30" t="str">
        <x:v>1</x:v>
      </x:c>
      <x:c r="P15" s="30" t="str">
        <x:v>1</x:v>
      </x:c>
      <x:c r="Q15" s="30" t="str">
        <x:v>1</x:v>
      </x:c>
      <x:c r="R15" s="30" t="str">
        <x:v>1</x:v>
      </x:c>
      <x:c r="S15" s="30" t="str">
        <x:v>1</x:v>
      </x:c>
      <x:c r="T15" s="30" t="str">
        <x:v>1</x:v>
      </x:c>
      <x:c r="U15" s="26" t="str"/>
      <x:c r="V15" s="33" t="str">
        <x:v>Corsano cloud; REST API/SDK; CSV/raw export</x:v>
      </x:c>
      <x:c r="W15" s="33" t="str">
        <x:v>Prescription, region, and endpoint-specific regulatory scope must be verified; fast BP claims require independent reference validation</x:v>
      </x:c>
      <x:c r="X15" s="33" t="str">
        <x:v>COR01;COR02;COR03;COR04;REG01;BP02</x:v>
      </x:c>
      <x:c r="Y15" s="32" t="n">
        <x:f>E15*'Codebook'!$B$5+F15*'Codebook'!$B$6+G15*'Codebook'!$B$7+H15*'Codebook'!$B$8+I15*'Codebook'!$B$9+J15*'Codebook'!$B$10+K15*'Codebook'!$B$11+L15*'Codebook'!$B$12+M15*'Codebook'!$B$13+N15*'Codebook'!$B$14+O15*'Codebook'!$B$15</x:f>
        <x:v>63.5</x:v>
      </x:c>
      <x:c r="Z15" s="32" t="n">
        <x:f>P15*'Codebook'!$E$5+Q15*'Codebook'!$E$6+R15*'Codebook'!$E$7+S15*'Codebook'!$E$8+T15*'Codebook'!$E$9</x:f>
        <x:v>35</x:v>
      </x:c>
      <x:c r="AA15" s="32" t="n">
        <x:f>Y15+Z15</x:f>
        <x:v>98.5</x:v>
      </x:c>
      <x:c r="AB15" s="32" t="n">
        <x:f>AA15-$AA$2</x:f>
        <x:v>54.5</x:v>
      </x:c>
      <x:c r="AC15" s="33" t="str">
        <x:f>IF(AA15&gt;=70,"High data potential",IF(AA15&gt;=50,"Pilot potential","Comparator"))</x:f>
        <x:v>High data potential</x:v>
      </x:c>
      <x:c r="AD15" s="33" t="str">
        <x:v>Vendor diligence</x:v>
      </x:c>
    </x:row>
    <x:row r="16" ht="50" customHeight="1">
      <x:c r="A16" s="26" t="str">
        <x:v>15</x:v>
      </x:c>
      <x:c r="B16" s="33" t="str">
        <x:v>Huawei Watch D2</x:v>
      </x:c>
      <x:c r="C16" s="33" t="str">
        <x:v>China</x:v>
      </x:c>
      <x:c r="D16" s="33" t="str">
        <x:v>watch with inflatable wrist cuff — non-US BP comparator</x:v>
      </x:c>
      <x:c r="E16" s="30" t="str">
        <x:v>1</x:v>
      </x:c>
      <x:c r="F16" s="30" t="str">
        <x:v>0.5</x:v>
      </x:c>
      <x:c r="G16" s="30" t="str">
        <x:v>0</x:v>
      </x:c>
      <x:c r="H16" s="30" t="str">
        <x:v>0.5</x:v>
      </x:c>
      <x:c r="I16" s="30" t="str">
        <x:v>1</x:v>
      </x:c>
      <x:c r="J16" s="30" t="str">
        <x:v>0.5</x:v>
      </x:c>
      <x:c r="K16" s="30" t="str">
        <x:v>1</x:v>
      </x:c>
      <x:c r="L16" s="30" t="str">
        <x:v>1</x:v>
      </x:c>
      <x:c r="M16" s="30" t="str">
        <x:v>0</x:v>
      </x:c>
      <x:c r="N16" s="30" t="str">
        <x:v>0.5</x:v>
      </x:c>
      <x:c r="O16" s="30" t="str">
        <x:v>1</x:v>
      </x:c>
      <x:c r="P16" s="30" t="str">
        <x:v>1</x:v>
      </x:c>
      <x:c r="Q16" s="30" t="str">
        <x:v>0</x:v>
      </x:c>
      <x:c r="R16" s="30" t="str">
        <x:v>0</x:v>
      </x:c>
      <x:c r="S16" s="30" t="str">
        <x:v>0.5</x:v>
      </x:c>
      <x:c r="T16" s="30" t="str">
        <x:v>0.5</x:v>
      </x:c>
      <x:c r="U16" s="26" t="str">
        <x:v>6</x:v>
      </x:c>
      <x:c r="V16" s="33" t="str">
        <x:v>Huawei Health; Health Kit; cloud/account route</x:v>
      </x:c>
      <x:c r="W16" s="33" t="str">
        <x:v>ABPM is intermittent at 15–60 minute intervals, not rapid continuous BP; wear on the arm opposite venipuncture</x:v>
      </x:c>
      <x:c r="X16" s="33" t="str">
        <x:v>HUA01;HUA02;HUA04</x:v>
      </x:c>
      <x:c r="Y16" s="32" t="n">
        <x:f>E16*'Codebook'!$B$5+F16*'Codebook'!$B$6+G16*'Codebook'!$B$7+H16*'Codebook'!$B$8+I16*'Codebook'!$B$9+J16*'Codebook'!$B$10+K16*'Codebook'!$B$11+L16*'Codebook'!$B$12+M16*'Codebook'!$B$13+N16*'Codebook'!$B$14+O16*'Codebook'!$B$15</x:f>
        <x:v>34.5</x:v>
      </x:c>
      <x:c r="Z16" s="32" t="n">
        <x:f>P16*'Codebook'!$E$5+Q16*'Codebook'!$E$6+R16*'Codebook'!$E$7+S16*'Codebook'!$E$8+T16*'Codebook'!$E$9</x:f>
        <x:v>10</x:v>
      </x:c>
      <x:c r="AA16" s="32" t="n">
        <x:f>Y16+Z16</x:f>
        <x:v>44.5</x:v>
      </x:c>
      <x:c r="AB16" s="32" t="n">
        <x:f>AA16-$AA$2</x:f>
        <x:v>0.5</x:v>
      </x:c>
      <x:c r="AC16" s="33" t="str">
        <x:f>IF(AA16&gt;=70,"High data potential",IF(AA16&gt;=50,"Pilot potential","Comparator"))</x:f>
        <x:v>Comparator</x:v>
      </x:c>
      <x:c r="AD16" s="33" t="str">
        <x:v>BP comparator</x:v>
      </x:c>
    </x:row>
    <x:row r="17" ht="50" customHeight="1">
      <x:c r="A17" s="42" t="str">
        <x:v>16</x:v>
      </x:c>
      <x:c r="B17" s="43" t="str">
        <x:v>Vivalink VV330/VV350 Continuous ECG Platform</x:v>
      </x:c>
      <x:c r="C17" s="43" t="str">
        <x:v>United States</x:v>
      </x:c>
      <x:c r="D17" s="43" t="str">
        <x:v>chest patch — US open-integration reference finalist</x:v>
      </x:c>
      <x:c r="E17" s="44" t="str">
        <x:v>1</x:v>
      </x:c>
      <x:c r="F17" s="44" t="str">
        <x:v>1</x:v>
      </x:c>
      <x:c r="G17" s="44" t="str">
        <x:v>0</x:v>
      </x:c>
      <x:c r="H17" s="44" t="str">
        <x:v>1</x:v>
      </x:c>
      <x:c r="I17" s="44" t="str">
        <x:v>0</x:v>
      </x:c>
      <x:c r="J17" s="44" t="str">
        <x:v>0</x:v>
      </x:c>
      <x:c r="K17" s="44" t="str">
        <x:v>0</x:v>
      </x:c>
      <x:c r="L17" s="44" t="str">
        <x:v>1</x:v>
      </x:c>
      <x:c r="M17" s="44" t="str">
        <x:v>0</x:v>
      </x:c>
      <x:c r="N17" s="44" t="str">
        <x:v>1</x:v>
      </x:c>
      <x:c r="O17" s="44" t="str">
        <x:v>1</x:v>
      </x:c>
      <x:c r="P17" s="44" t="str">
        <x:v>1</x:v>
      </x:c>
      <x:c r="Q17" s="44" t="str">
        <x:v>1</x:v>
      </x:c>
      <x:c r="R17" s="44" t="str">
        <x:v>1</x:v>
      </x:c>
      <x:c r="S17" s="44" t="str">
        <x:v>1</x:v>
      </x:c>
      <x:c r="T17" s="44" t="str">
        <x:v>1</x:v>
      </x:c>
      <x:c r="U17" s="42" t="str">
        <x:v>14</x:v>
      </x:c>
      <x:c r="V17" s="43" t="str">
        <x:v>Vivalink mobile SDK; cloud API; file download; BLE</x:v>
      </x:c>
      <x:c r="W17" s="43" t="str">
        <x:v>128 Hz raw ECG plus R-R, HR, respiration, skin temperature, posture, and accelerometry; confirm exact VV330/VV350 configuration and contracted data fields</x:v>
      </x:c>
      <x:c r="X17" s="43" t="str">
        <x:v>VIV01;VIV02;VIV03;VAL13</x:v>
      </x:c>
      <x:c r="Y17" s="45" t="n">
        <x:f>E17*'Codebook'!$B$5+F17*'Codebook'!$B$6+G17*'Codebook'!$B$7+H17*'Codebook'!$B$8+I17*'Codebook'!$B$9+J17*'Codebook'!$B$10+K17*'Codebook'!$B$11+L17*'Codebook'!$B$12+M17*'Codebook'!$B$13+N17*'Codebook'!$B$14+O17*'Codebook'!$B$15</x:f>
        <x:v>25</x:v>
      </x:c>
      <x:c r="Z17" s="45" t="n">
        <x:f>P17*'Codebook'!$E$5+Q17*'Codebook'!$E$6+R17*'Codebook'!$E$7+S17*'Codebook'!$E$8+T17*'Codebook'!$E$9</x:f>
        <x:v>35</x:v>
      </x:c>
      <x:c r="AA17" s="45" t="n">
        <x:f>Y17+Z17</x:f>
        <x:v>60</x:v>
      </x:c>
      <x:c r="AB17" s="45" t="n">
        <x:f>AA17-$AA$2</x:f>
        <x:v>16</x:v>
      </x:c>
      <x:c r="AC17" s="43" t="str">
        <x:f>IF(AA17&gt;=70,"High data potential",IF(AA17&gt;=50,"Pilot potential","Comparator"))</x:f>
        <x:v>Pilot potential</x:v>
      </x:c>
      <x:c r="AD17" s="43" t="str">
        <x:v>Reference finalist</x:v>
      </x:c>
    </x:row>
    <x:row r="18" ht="50" customHeight="1">
      <x:c r="A18" s="42" t="str">
        <x:v>17</x:v>
      </x:c>
      <x:c r="B18" s="43" t="str">
        <x:v>Sibel ANNE One</x:v>
      </x:c>
      <x:c r="C18" s="43" t="str">
        <x:v>United States</x:v>
      </x:c>
      <x:c r="D18" s="43" t="str">
        <x:v>dual chest/finger skin sensors — US multimodal reference finalist</x:v>
      </x:c>
      <x:c r="E18" s="44" t="str">
        <x:v>1</x:v>
      </x:c>
      <x:c r="F18" s="44" t="str">
        <x:v>1</x:v>
      </x:c>
      <x:c r="G18" s="44" t="str">
        <x:v>1</x:v>
      </x:c>
      <x:c r="H18" s="44" t="str">
        <x:v>1</x:v>
      </x:c>
      <x:c r="I18" s="44" t="str">
        <x:v>0</x:v>
      </x:c>
      <x:c r="J18" s="44" t="str">
        <x:v>0</x:v>
      </x:c>
      <x:c r="K18" s="44" t="str">
        <x:v>1</x:v>
      </x:c>
      <x:c r="L18" s="44" t="str">
        <x:v>1</x:v>
      </x:c>
      <x:c r="M18" s="44" t="str">
        <x:v>0</x:v>
      </x:c>
      <x:c r="N18" s="44" t="str">
        <x:v>1</x:v>
      </x:c>
      <x:c r="O18" s="44" t="str">
        <x:v>1</x:v>
      </x:c>
      <x:c r="P18" s="44" t="str">
        <x:v>1</x:v>
      </x:c>
      <x:c r="Q18" s="44" t="str">
        <x:v>1</x:v>
      </x:c>
      <x:c r="R18" s="44" t="str">
        <x:v>1</x:v>
      </x:c>
      <x:c r="S18" s="44" t="str">
        <x:v>0.5</x:v>
      </x:c>
      <x:c r="T18" s="44" t="str">
        <x:v>1</x:v>
      </x:c>
      <x:c r="U18" s="42" t="str"/>
      <x:c r="V18" s="43" t="str">
        <x:v>ANNE View/Discovery; synchronized Bluetooth tablet; contract-gated research export</x:v>
      </x:c>
      <x:c r="W18" s="43" t="str">
        <x:v>High-rate synchronized ECG and finger PPG are unusually relevant, but the finger module and adhesives may interfere with workflow; public SDK terms are not established</x:v>
      </x:c>
      <x:c r="X18" s="43" t="str">
        <x:v>SIB01;SIB02;SIB03;VAL14</x:v>
      </x:c>
      <x:c r="Y18" s="45" t="n">
        <x:f>E18*'Codebook'!$B$5+F18*'Codebook'!$B$6+G18*'Codebook'!$B$7+H18*'Codebook'!$B$8+I18*'Codebook'!$B$9+J18*'Codebook'!$B$10+K18*'Codebook'!$B$11+L18*'Codebook'!$B$12+M18*'Codebook'!$B$13+N18*'Codebook'!$B$14+O18*'Codebook'!$B$15</x:f>
        <x:v>38</x:v>
      </x:c>
      <x:c r="Z18" s="45" t="n">
        <x:f>P18*'Codebook'!$E$5+Q18*'Codebook'!$E$6+R18*'Codebook'!$E$7+S18*'Codebook'!$E$8+T18*'Codebook'!$E$9</x:f>
        <x:v>31.5</x:v>
      </x:c>
      <x:c r="AA18" s="45" t="n">
        <x:f>Y18+Z18</x:f>
        <x:v>69.5</x:v>
      </x:c>
      <x:c r="AB18" s="45" t="n">
        <x:f>AA18-$AA$2</x:f>
        <x:v>25.5</x:v>
      </x:c>
      <x:c r="AC18" s="43" t="str">
        <x:f>IF(AA18&gt;=70,"High data potential",IF(AA18&gt;=50,"Pilot potential","Comparator"))</x:f>
        <x:v>Pilot potential</x:v>
      </x:c>
      <x:c r="AD18" s="43" t="str">
        <x:v>Reference finalist</x:v>
      </x:c>
    </x:row>
    <x:row r="19" ht="50" customHeight="1">
      <x:c r="A19" s="42" t="str">
        <x:v>18</x:v>
      </x:c>
      <x:c r="B19" s="43" t="str">
        <x:v>Medidata BioStamp nPoint</x:v>
      </x:c>
      <x:c r="C19" s="43" t="str">
        <x:v>United States</x:v>
      </x:c>
      <x:c r="D19" s="43" t="str">
        <x:v>multi-site skin patch — US clinical-research comparator</x:v>
      </x:c>
      <x:c r="E19" s="44" t="str">
        <x:v>1</x:v>
      </x:c>
      <x:c r="F19" s="44" t="str">
        <x:v>1</x:v>
      </x:c>
      <x:c r="G19" s="44" t="str">
        <x:v>0</x:v>
      </x:c>
      <x:c r="H19" s="44" t="str">
        <x:v>1</x:v>
      </x:c>
      <x:c r="I19" s="44" t="str">
        <x:v>0</x:v>
      </x:c>
      <x:c r="J19" s="44" t="str">
        <x:v>0</x:v>
      </x:c>
      <x:c r="K19" s="44" t="str">
        <x:v>0</x:v>
      </x:c>
      <x:c r="L19" s="44" t="str">
        <x:v>0</x:v>
      </x:c>
      <x:c r="M19" s="44" t="str">
        <x:v>0</x:v>
      </x:c>
      <x:c r="N19" s="44" t="str">
        <x:v>1</x:v>
      </x:c>
      <x:c r="O19" s="44" t="str">
        <x:v>1</x:v>
      </x:c>
      <x:c r="P19" s="44" t="str">
        <x:v>1</x:v>
      </x:c>
      <x:c r="Q19" s="44" t="str">
        <x:v>0.5</x:v>
      </x:c>
      <x:c r="R19" s="44" t="str">
        <x:v>1</x:v>
      </x:c>
      <x:c r="S19" s="44" t="str">
        <x:v>0.5</x:v>
      </x:c>
      <x:c r="T19" s="44" t="str">
        <x:v>1</x:v>
      </x:c>
      <x:c r="U19" s="42" t="str">
        <x:v>1</x:v>
      </x:c>
      <x:c r="V19" s="43" t="str">
        <x:v>Medidata Sensor Cloud; Investigator Portal; Link Hub/mobile transfer</x:v>
      </x:c>
      <x:c r="W19" s="43" t="str">
        <x:v>Raw biopotential and motion data are available for research, but synchronization is platform-based rather than a confirmed low-latency alert stream and daily charging creates gaps</x:v>
      </x:c>
      <x:c r="X19" s="43" t="str">
        <x:v>BST01;BST02;VAL15</x:v>
      </x:c>
      <x:c r="Y19" s="45" t="n">
        <x:f>E19*'Codebook'!$B$5+F19*'Codebook'!$B$6+G19*'Codebook'!$B$7+H19*'Codebook'!$B$8+I19*'Codebook'!$B$9+J19*'Codebook'!$B$10+K19*'Codebook'!$B$11+L19*'Codebook'!$B$12+M19*'Codebook'!$B$13+N19*'Codebook'!$B$14+O19*'Codebook'!$B$15</x:f>
        <x:v>22</x:v>
      </x:c>
      <x:c r="Z19" s="45" t="n">
        <x:f>P19*'Codebook'!$E$5+Q19*'Codebook'!$E$6+R19*'Codebook'!$E$7+S19*'Codebook'!$E$8+T19*'Codebook'!$E$9</x:f>
        <x:v>25.5</x:v>
      </x:c>
      <x:c r="AA19" s="45" t="n">
        <x:f>Y19+Z19</x:f>
        <x:v>47.5</x:v>
      </x:c>
      <x:c r="AB19" s="45" t="n">
        <x:f>AA19-$AA$2</x:f>
        <x:v>3.5</x:v>
      </x:c>
      <x:c r="AC19" s="43" t="str">
        <x:f>IF(AA19&gt;=70,"High data potential",IF(AA19&gt;=50,"Pilot potential","Comparator"))</x:f>
        <x:v>Comparator</x:v>
      </x:c>
      <x:c r="AD19" s="43" t="str">
        <x:v>Research comparator</x:v>
      </x:c>
    </x:row>
  </x:sheetData>
  <x:conditionalFormatting sqref="E2:T19">
    <x:cfRule type="cellIs" dxfId="0" priority="1" operator="equal">
      <x:formula>1</x:formula>
    </x:cfRule>
    <x:cfRule type="cellIs" dxfId="1" priority="2" operator="equal">
      <x:formula>0.5</x:formula>
    </x:cfRule>
    <x:cfRule type="cellIs" dxfId="2" priority="3" operator="equal">
      <x:formula>0</x:formula>
    </x:cfRule>
  </x:conditionalFormatting>
  <x:conditionalFormatting sqref="AA2:AA19">
    <x:cfRule type="dataBar" priority="4">
      <x:dataBar>
        <x:cfvo type="min"/>
        <x:cfvo type="max"/>
        <x:color rgb="FF00A7A0"/>
      </x:dataBar>
    </x:cfRule>
  </x:conditionalFormatting>
  <x:conditionalFormatting sqref="AB2:AB19">
    <x:cfRule type="colorScale" priority="5">
      <x:colorScale>
        <x:cfvo type="min"/>
        <x:cfvo type="percentile" val="50"/>
        <x:cfvo type="max"/>
        <x:color rgb="FFFCE8E6"/>
        <x:color rgb="FFF3F6F8"/>
        <x:color rgb="FFDFF3E4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7f0f2700707d427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6" hidden="0" customWidth="1"/>
    <x:col min="3" max="3" width="34" hidden="0" customWidth="1"/>
    <x:col min="4" max="4" width="21" hidden="0" customWidth="1"/>
    <x:col min="5" max="5" width="34" hidden="0" customWidth="1"/>
    <x:col min="6" max="6" width="43" hidden="0" customWidth="1"/>
    <x:col min="7" max="7" width="31" hidden="0" customWidth="1"/>
  </x:cols>
  <x:sheetData>
    <x:row r="1">
      <x:c r="A1" s="3" t="str">
        <x:v>Real-time &amp; Data Extraction Assessment</x:v>
      </x:c>
      <x:c r="B1" s="3"/>
      <x:c r="C1" s="3"/>
      <x:c r="D1" s="3"/>
      <x:c r="E1" s="3"/>
      <x:c r="F1" s="3"/>
      <x:c r="G1" s="3"/>
    </x:row>
    <x:row r="2">
      <x:c r="A2" s="3"/>
      <x:c r="B2" s="3"/>
      <x:c r="C2" s="3"/>
      <x:c r="D2" s="3"/>
      <x:c r="E2" s="3"/>
      <x:c r="F2" s="3"/>
      <x:c r="G2" s="3"/>
    </x:row>
    <x:row r="3">
      <x:c r="A3" s="47" t="str">
        <x:v>Real-time = a study app can programmatically receive timestamped samples. A live number visible only in a vendor app is not counted.</x:v>
      </x:c>
      <x:c r="B3" s="47"/>
      <x:c r="C3" s="47"/>
      <x:c r="D3" s="47"/>
      <x:c r="E3" s="47"/>
      <x:c r="F3" s="47"/>
      <x:c r="G3" s="47"/>
    </x:row>
    <x:row r="5">
      <x:c r="A5" s="50" t="str">
        <x:v>Device</x:v>
      </x:c>
      <x:c r="B5" s="50" t="str">
        <x:v>Programmatic live path</x:v>
      </x:c>
      <x:c r="C5" s="50" t="str">
        <x:v>Raw export</x:v>
      </x:c>
      <x:c r="D5" s="50" t="str">
        <x:v>Manual export</x:v>
      </x:c>
      <x:c r="E5" s="50" t="str">
        <x:v>Typical data shape</x:v>
      </x:c>
      <x:c r="F5" s="50" t="str">
        <x:v>Primary gate</x:v>
      </x:c>
      <x:c r="G5" s="50" t="str">
        <x:v>Vitestro role</x:v>
      </x:c>
    </x:row>
    <x:row r="6" ht="52" customHeight="1">
      <x:c r="A6" s="61" t="str">
        <x:v>Apple Watch Series 11</x:v>
      </x:c>
      <x:c r="B6" s="62" t="str">
        <x:v>△ HR + motion in watchOS session</x:v>
      </x:c>
      <x:c r="C6" s="62" t="str">
        <x:v>△ Saved ECG voltage only</x:v>
      </x:c>
      <x:c r="D6" s="62" t="str">
        <x:v>✓ Health XML</x:v>
      </x:c>
      <x:c r="E6" s="62" t="str">
        <x:v>HealthKit samples; Core Motion; XML</x:v>
      </x:c>
      <x:c r="F6" s="62" t="str">
        <x:v>No raw PPG/EDA/BP</x:v>
      </x:c>
      <x:c r="G6" s="63" t="str">
        <x:v>iOS/UX baseline</x:v>
      </x:c>
    </x:row>
    <x:row r="7" ht="52" customHeight="1">
      <x:c r="A7" s="55" t="str">
        <x:v>ActiGraph LEAP</x:v>
      </x:c>
      <x:c r="B7" s="56" t="str">
        <x:v>△ Device-to-platform transfer; latency to measure</x:v>
      </x:c>
      <x:c r="C7" s="56" t="str">
        <x:v>✓ Raw PPG + motion through platform</x:v>
      </x:c>
      <x:c r="D7" s="56" t="str">
        <x:v>✓</x:v>
      </x:c>
      <x:c r="E7" s="56" t="str">
        <x:v>CentrePoint/API/ActiLife records</x:v>
      </x:c>
      <x:c r="F7" s="56" t="str">
        <x:v>Confirm live latency and enabled sensors</x:v>
      </x:c>
      <x:c r="G7" s="57" t="str">
        <x:v>Primary US wrist research</x:v>
      </x:c>
    </x:row>
    <x:row r="8" ht="52" customHeight="1">
      <x:c r="A8" s="55" t="str">
        <x:v>Biostrap Kairos</x:v>
      </x:c>
      <x:c r="B8" s="56" t="str">
        <x:v>△ Cloud live path and Bluetooth SDK by contract</x:v>
      </x:c>
      <x:c r="C8" s="56" t="str">
        <x:v>✓ Raw PPG/IBI + motion</x:v>
      </x:c>
      <x:c r="D8" s="56" t="str">
        <x:v>✓</x:v>
      </x:c>
      <x:c r="E8" s="56" t="str">
        <x:v>Raw/processed cloud data</x:v>
      </x:c>
      <x:c r="F8" s="56" t="str">
        <x:v>Contract, sample rate, and latency</x:v>
      </x:c>
      <x:c r="G8" s="57" t="str">
        <x:v>Independent US wrist research</x:v>
      </x:c>
    </x:row>
    <x:row r="9" ht="52" customHeight="1">
      <x:c r="A9" s="55" t="str">
        <x:v>VitalConnect VitalPatch RTM</x:v>
      </x:c>
      <x:c r="B9" s="56" t="str">
        <x:v>✓ Clinical platform and relay APIs</x:v>
      </x:c>
      <x:c r="C9" s="56" t="str">
        <x:v>✓ ECG/R-R and processed channels</x:v>
      </x:c>
      <x:c r="D9" s="56" t="str">
        <x:v>✓ CSV</x:v>
      </x:c>
      <x:c r="E9" s="56" t="str">
        <x:v>Continuous ECG/HR/RR/temp/posture</x:v>
      </x:c>
      <x:c r="F9" s="56" t="str">
        <x:v>Chest placement and adhesive workflow</x:v>
      </x:c>
      <x:c r="G9" s="57" t="str">
        <x:v>Clinical signal reference</x:v>
      </x:c>
    </x:row>
    <x:row r="10" ht="52" customHeight="1">
      <x:c r="A10" s="55" t="str">
        <x:v>Google Pixel Watch 4</x:v>
      </x:c>
      <x:c r="B10" s="56" t="str">
        <x:v>△ Processed HR via Wear OS Health Services</x:v>
      </x:c>
      <x:c r="C10" s="56" t="str">
        <x:v>✗</x:v>
      </x:c>
      <x:c r="D10" s="56" t="str">
        <x:v>✓ Fitbit/Google archive</x:v>
      </x:c>
      <x:c r="E10" s="56" t="str">
        <x:v>~1 Hz exercise HR; passive batches</x:v>
      </x:c>
      <x:c r="F10" s="56" t="str">
        <x:v>No raw PPG/EDA export</x:v>
      </x:c>
      <x:c r="G10" s="57" t="str">
        <x:v>Android integration comparator</x:v>
      </x:c>
    </x:row>
    <x:row r="11" ht="52" customHeight="1">
      <x:c r="A11" s="55" t="str">
        <x:v>Fitbit Sense 2</x:v>
      </x:c>
      <x:c r="B11" s="56" t="str">
        <x:v>✗ Public API is not low-latency live</x:v>
      </x:c>
      <x:c r="C11" s="56" t="str">
        <x:v>✗</x:v>
      </x:c>
      <x:c r="D11" s="56" t="str">
        <x:v>✓ CSV/archive</x:v>
      </x:c>
      <x:c r="E11" s="56" t="str">
        <x:v>Processed JSON/CSV</x:v>
      </x:c>
      <x:c r="F11" s="56" t="str">
        <x:v>Multi-user intraday approval</x:v>
      </x:c>
      <x:c r="G11" s="57" t="str">
        <x:v>Fitbit stress comparator</x:v>
      </x:c>
    </x:row>
    <x:row r="12" ht="52" customHeight="1">
      <x:c r="A12" s="55" t="str">
        <x:v>Garmin Venu 4</x:v>
      </x:c>
      <x:c r="B12" s="56" t="str">
        <x:v>△ Garmin Health SDK partner stream</x:v>
      </x:c>
      <x:c r="C12" s="56" t="str">
        <x:v>△ Processed/B2B + motion</x:v>
      </x:c>
      <x:c r="D12" s="56" t="str">
        <x:v>✓</x:v>
      </x:c>
      <x:c r="E12" s="56" t="str">
        <x:v>Partner SDK + cloud JSON/FIT</x:v>
      </x:c>
      <x:c r="F12" s="56" t="str">
        <x:v>Enterprise contract</x:v>
      </x:c>
      <x:c r="G12" s="57" t="str">
        <x:v>Long-wear processed stream</x:v>
      </x:c>
    </x:row>
    <x:row r="13" ht="52" customHeight="1">
      <x:c r="A13" s="55" t="str">
        <x:v>WHOOP MG</x:v>
      </x:c>
      <x:c r="B13" s="56" t="str">
        <x:v>✗ Public API is aggregate/post-sync</x:v>
      </x:c>
      <x:c r="C13" s="56" t="str">
        <x:v>✗</x:v>
      </x:c>
      <x:c r="D13" s="56" t="str">
        <x:v>✓ CSV</x:v>
      </x:c>
      <x:c r="E13" s="56" t="str">
        <x:v>Cycle/recovery/workout/sleep objects</x:v>
      </x:c>
      <x:c r="F13" s="56" t="str">
        <x:v>No raw optical stream</x:v>
      </x:c>
      <x:c r="G13" s="57" t="str">
        <x:v>Longitudinal baseline only</x:v>
      </x:c>
    </x:row>
    <x:row r="14" ht="52" customHeight="1">
      <x:c r="A14" s="55" t="str">
        <x:v>BioButton Rechargeable</x:v>
      </x:c>
      <x:c r="B14" s="56" t="str">
        <x:v>△ Platform transfer of resting values</x:v>
      </x:c>
      <x:c r="C14" s="56" t="str">
        <x:v>✗</x:v>
      </x:c>
      <x:c r="D14" s="56" t="str">
        <x:v>△</x:v>
      </x:c>
      <x:c r="E14" s="56" t="str">
        <x:v>Resting HR/RR/temp/activity</x:v>
      </x:c>
      <x:c r="F14" s="56" t="str">
        <x:v>HR/RR suppressed during motion</x:v>
      </x:c>
      <x:c r="G14" s="57" t="str">
        <x:v>Ward-monitoring comparator</x:v>
      </x:c>
    </x:row>
    <x:row r="15" ht="52" customHeight="1">
      <x:c r="A15" s="55" t="str">
        <x:v>Masimo W1 Medical</x:v>
      </x:c>
      <x:c r="B15" s="56" t="str">
        <x:v>△ Clinical/UI pathway; public API unconfirmed</x:v>
      </x:c>
      <x:c r="C15" s="56" t="str">
        <x:v>✗</x:v>
      </x:c>
      <x:c r="D15" s="56" t="str">
        <x:v>△</x:v>
      </x:c>
      <x:c r="E15" s="56" t="str">
        <x:v>SpO2/PR/HR/perfusion-index records</x:v>
      </x:c>
      <x:c r="F15" s="56" t="str">
        <x:v>No open raw optical stream</x:v>
      </x:c>
      <x:c r="G15" s="57" t="str">
        <x:v>Medical SpO2 comparator</x:v>
      </x:c>
    </x:row>
    <x:row r="16" ht="52" customHeight="1">
      <x:c r="A16" s="55" t="str">
        <x:v>iRhythm Zio AT</x:v>
      </x:c>
      <x:c r="B16" s="56" t="str">
        <x:v>△ Event transmissions through clinical service</x:v>
      </x:c>
      <x:c r="C16" s="56" t="str">
        <x:v>△ Contract-dependent ECG access</x:v>
      </x:c>
      <x:c r="D16" s="56" t="str">
        <x:v>△ Reports</x:v>
      </x:c>
      <x:c r="E16" s="56" t="str">
        <x:v>Continuous ECG + event transmissions</x:v>
      </x:c>
      <x:c r="F16" s="56" t="str">
        <x:v>Not an open research stream</x:v>
      </x:c>
      <x:c r="G16" s="57" t="str">
        <x:v>Cardiac comparator</x:v>
      </x:c>
    </x:row>
    <x:row r="17" ht="52" customHeight="1">
      <x:c r="A17" s="64" t="str">
        <x:v>Samsung Galaxy Watch8</x:v>
      </x:c>
      <x:c r="B17" s="65" t="str">
        <x:v>✓ Sensor SDK: PPG/IBI/EDA/temp/ACC</x:v>
      </x:c>
      <x:c r="C17" s="65" t="str">
        <x:v>✓ App-controlled raw samples</x:v>
      </x:c>
      <x:c r="D17" s="65" t="str">
        <x:v>✓ Account download</x:v>
      </x:c>
      <x:c r="E17" s="65" t="str">
        <x:v>25 Hz PPG/ACC; 1 Hz HR/IBI/EDA</x:v>
      </x:c>
      <x:c r="F17" s="65" t="str">
        <x:v>Partner approval for distribution</x:v>
      </x:c>
      <x:c r="G17" s="66" t="str">
        <x:v>Direct-evidence control</x:v>
      </x:c>
    </x:row>
    <x:row r="18" ht="52" customHeight="1">
      <x:c r="A18" s="64" t="str">
        <x:v>Empatica EmbracePlus</x:v>
      </x:c>
      <x:c r="B18" s="65" t="str">
        <x:v>△ Continuous device-to-cloud; latency to test</x:v>
      </x:c>
      <x:c r="C18" s="65" t="str">
        <x:v>✓ Avro BVP/EDA/temp/ACC/tags</x:v>
      </x:c>
      <x:c r="D18" s="65" t="str">
        <x:v>✓</x:v>
      </x:c>
      <x:c r="E18" s="65" t="str">
        <x:v>High-frequency Avro + cloud API</x:v>
      </x:c>
      <x:c r="F18" s="65" t="str">
        <x:v>Contract/plan + cloud latency</x:v>
      </x:c>
      <x:c r="G18" s="66" t="str">
        <x:v>Research autonomic reference</x:v>
      </x:c>
    </x:row>
    <x:row r="19" ht="52" customHeight="1">
      <x:c r="A19" s="64" t="str">
        <x:v>Corsano CardioWatch 287-2</x:v>
      </x:c>
      <x:c r="B19" s="65" t="str">
        <x:v>✓ Vendor real-time cloud/API/SDK</x:v>
      </x:c>
      <x:c r="C19" s="65" t="str">
        <x:v>✓ Raw G/R/IR PPG + CSV/API</x:v>
      </x:c>
      <x:c r="D19" s="65" t="str">
        <x:v>✓</x:v>
      </x:c>
      <x:c r="E19" s="65" t="str">
        <x:v>REST/SDK + raw/processed exports</x:v>
      </x:c>
      <x:c r="F19" s="65" t="str">
        <x:v>Rx/region/endpoints + independent validation</x:v>
      </x:c>
      <x:c r="G19" s="66" t="str">
        <x:v>Conditional all-in-one candidate</x:v>
      </x:c>
    </x:row>
    <x:row r="20" ht="52" customHeight="1">
      <x:c r="A20" s="64" t="str">
        <x:v>Huawei Watch D2</x:v>
      </x:c>
      <x:c r="B20" s="65" t="str">
        <x:v>✗ Public real-time path not confirmed</x:v>
      </x:c>
      <x:c r="C20" s="65" t="str">
        <x:v>✗</x:v>
      </x:c>
      <x:c r="D20" s="65" t="str">
        <x:v>△</x:v>
      </x:c>
      <x:c r="E20" s="65" t="str">
        <x:v>Huawei Health/Health Kit records</x:v>
      </x:c>
      <x:c r="F20" s="65" t="str">
        <x:v>Region + Health Kit access</x:v>
      </x:c>
      <x:c r="G20" s="66" t="str">
        <x:v>Intermittent BP comparator</x:v>
      </x:c>
    </x:row>
    <x:row r="21" ht="52" customHeight="1">
      <x:c r="A21" s="64" t="str">
        <x:v>Vivalink VV330/VV350</x:v>
      </x:c>
      <x:c r="B21" s="65" t="str">
        <x:v>✓ Local SDK/BLE and cloud integration</x:v>
      </x:c>
      <x:c r="C21" s="65" t="str">
        <x:v>✓ 128 Hz ECG plus R-R/HR and motion</x:v>
      </x:c>
      <x:c r="D21" s="65" t="str">
        <x:v>✓ File download</x:v>
      </x:c>
      <x:c r="E21" s="65" t="str">
        <x:v>Raw ECG; R-R; HR; RR; temp; posture; ACC</x:v>
      </x:c>
      <x:c r="F21" s="65" t="str">
        <x:v>Lock exact model, fields, and local/cloud latency</x:v>
      </x:c>
      <x:c r="G21" s="66" t="str">
        <x:v>US reference finalist</x:v>
      </x:c>
    </x:row>
    <x:row r="22" ht="52" customHeight="1">
      <x:c r="A22" s="64" t="str">
        <x:v>Sibel ANNE One</x:v>
      </x:c>
      <x:c r="B22" s="65" t="str">
        <x:v>✓ Synchronized Bluetooth streaming to tablet</x:v>
      </x:c>
      <x:c r="C22" s="65" t="str">
        <x:v>✓ 512 Hz ECG + 128 Hz finger PPG + motion/temp</x:v>
      </x:c>
      <x:c r="D22" s="65" t="str">
        <x:v>✓ Research export</x:v>
      </x:c>
      <x:c r="E22" s="65" t="str">
        <x:v>Time-synchronized dual-sensor raw waveforms</x:v>
      </x:c>
      <x:c r="F22" s="65" t="str">
        <x:v>Contracted SDK/export plus finger and adhesive workflow</x:v>
      </x:c>
      <x:c r="G22" s="66" t="str">
        <x:v>US multimodal reference finalist</x:v>
      </x:c>
    </x:row>
    <x:row r="23" ht="52" customHeight="1">
      <x:c r="A23" s="67" t="str">
        <x:v>Medidata BioStamp nPoint</x:v>
      </x:c>
      <x:c r="B23" s="68" t="str">
        <x:v>△ Device-to-mobile/cloud synchronization</x:v>
      </x:c>
      <x:c r="C23" s="68" t="str">
        <x:v>✓ Raw biopotential + ACC/gyro</x:v>
      </x:c>
      <x:c r="D23" s="68" t="str">
        <x:v>✓ Investigator export</x:v>
      </x:c>
      <x:c r="E23" s="68" t="str">
        <x:v>Raw research files + derived HR/HRV/RR/posture</x:v>
      </x:c>
      <x:c r="F23" s="68" t="str">
        <x:v>Not a confirmed low-latency alert stream; daily charging</x:v>
      </x:c>
      <x:c r="G23" s="69" t="str">
        <x:v>US research comparator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b8e656d5a469462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4" hidden="0" customWidth="1"/>
    <x:col min="3" max="3" width="39" hidden="0" customWidth="1"/>
    <x:col min="4" max="4" width="61" hidden="0" customWidth="1"/>
    <x:col min="5" max="5" width="54" hidden="0" customWidth="1"/>
    <x:col min="6" max="6" width="31" hidden="0" customWidth="1"/>
  </x:cols>
  <x:sheetData>
    <x:row r="1">
      <x:c r="A1" s="3" t="str">
        <x:v>Signal Evidence &amp; Intended Role</x:v>
      </x:c>
      <x:c r="B1" s="3"/>
      <x:c r="C1" s="3"/>
      <x:c r="D1" s="3"/>
      <x:c r="E1" s="3"/>
      <x:c r="F1" s="3"/>
    </x:row>
    <x:row r="2">
      <x:c r="A2" s="3"/>
      <x:c r="B2" s="3"/>
      <x:c r="C2" s="3"/>
      <x:c r="D2" s="3"/>
      <x:c r="E2" s="3"/>
      <x:c r="F2" s="3"/>
    </x:row>
    <x:row r="3">
      <x:c r="A3" s="47" t="str">
        <x:v>Wearable-first does not mean single-signal. Continuous BP is a development reference; facial RGB/thermal are optional auxiliary channels with separate privacy and robustness gates.</x:v>
      </x:c>
      <x:c r="B3" s="47"/>
      <x:c r="C3" s="47"/>
      <x:c r="D3" s="47"/>
      <x:c r="E3" s="47"/>
      <x:c r="F3" s="47"/>
    </x:row>
    <x:row r="5">
      <x:c r="A5" s="50" t="str">
        <x:v>modality</x:v>
      </x:c>
      <x:c r="B5" s="50" t="str">
        <x:v>deployment_class</x:v>
      </x:c>
      <x:c r="C5" s="50" t="str">
        <x:v>vitestro_role</x:v>
      </x:c>
      <x:c r="D5" s="50" t="str">
        <x:v>evidence_summary</x:v>
      </x:c>
      <x:c r="E5" s="50" t="str">
        <x:v>main_failure_mode</x:v>
      </x:c>
      <x:c r="F5" s="50" t="str">
        <x:v>source_ids</x:v>
      </x:c>
    </x:row>
    <x:row r="6" ht="68" customHeight="1">
      <x:c r="A6" s="88" t="str">
        <x:v>Continuous beat-to-beat blood pressure</x:v>
      </x:c>
      <x:c r="B6" s="89" t="str">
        <x:v>Development reference only</x:v>
      </x:c>
      <x:c r="C6" s="89" t="str">
        <x:v>Ground truth for rapid hemodynamic change</x:v>
      </x:c>
      <x:c r="D6" s="89" t="str">
        <x:v>Joint BP/R-R models and BP-only deep learning predict tilt-induced syncope, but wearable cuffless systems have not reliably tracked the rapid presyncopal BP fall</x:v>
      </x:c>
      <x:c r="E6" s="89" t="str">
        <x:v>No reviewed wrist device provides validated fast continuous BP for this use case</x:v>
      </x:c>
      <x:c r="F6" s="90" t="str">
        <x:v>CLN03;CLN15;CLN16;CLN17;BP01;BP02</x:v>
      </x:c>
    </x:row>
    <x:row r="7" ht="68" customHeight="1">
      <x:c r="A7" s="64" t="str">
        <x:v>ECG and R-R intervals</x:v>
      </x:c>
      <x:c r="B7" s="65" t="str">
        <x:v>Primary reference and candidate feature</x:v>
      </x:c>
      <x:c r="C7" s="65" t="str">
        <x:v>Cardiac timing, rhythm, HR trend, and ECG-derived HRV</x:v>
      </x:c>
      <x:c r="D7" s="65" t="str">
        <x:v>ECG-derived R-R adds mechanistic and modeling value; HRV alone is not sufficiently discriminative</x:v>
      </x:c>
      <x:c r="E7" s="65" t="str">
        <x:v>Chest adhesion, motion artifact, and false equivalence between ECG HRV and PPG PRV</x:v>
      </x:c>
      <x:c r="F7" s="66" t="str">
        <x:v>CLN03;CLN09;CLN12;CLN17</x:v>
      </x:c>
    </x:row>
    <x:row r="8" ht="68" customHeight="1">
      <x:c r="A8" s="64" t="str">
        <x:v>Raw wrist PPG</x:v>
      </x:c>
      <x:c r="B8" s="65" t="str">
        <x:v>Primary deployable wearable candidate</x:v>
      </x:c>
      <x:c r="C8" s="65" t="str">
        <x:v>Pulse waveform morphology, pulse-rate trend, PRV, perfusion proxies, and signal quality</x:v>
      </x:c>
      <x:c r="D8" s="65" t="str">
        <x:v>A Galaxy Watch raw-PPG model showed direct prospective HUT prediction evidence</x:v>
      </x:c>
      <x:c r="E8" s="65" t="str">
        <x:v>Controlled HUT evidence may not generalize to venipuncture; motion, low perfusion, fit, and pigmentation affect quality</x:v>
      </x:c>
      <x:c r="F8" s="66" t="str">
        <x:v>VVS01;CLN08;CLN09;OPT01;OPT02;VAL02</x:v>
      </x:c>
    </x:row>
    <x:row r="9" ht="68" customHeight="1">
      <x:c r="A9" s="91" t="str">
        <x:v>Electrodermal activity</x:v>
      </x:c>
      <x:c r="B9" s="92" t="str">
        <x:v>Secondary autonomic candidate</x:v>
      </x:c>
      <x:c r="C9" s="92" t="str">
        <x:v>Sweating/arousal signal and potential early warning</x:v>
      </x:c>
      <x:c r="D9" s="92" t="str">
        <x:v>EDA increased before syncope in 62% of syncopal HUT patients and often preceded measured hemodynamic change</x:v>
      </x:c>
      <x:c r="E9" s="92" t="str">
        <x:v>Absent in 25% and strongly confounded by anxiety, pain, thermoregulation, and sensor location</x:v>
      </x:c>
      <x:c r="F9" s="93" t="str">
        <x:v>CLN14;CLN04</x:v>
      </x:c>
    </x:row>
    <x:row r="10" ht="68" customHeight="1">
      <x:c r="A10" s="91" t="str">
        <x:v>Skin temperature and peripheral perfusion</x:v>
      </x:c>
      <x:c r="B10" s="92" t="str">
        <x:v>Secondary contextual candidate</x:v>
      </x:c>
      <x:c r="C10" s="92" t="str">
        <x:v>Peripheral vasomotor context and optical-signal interpretation</x:v>
      </x:c>
      <x:c r="D10" s="92" t="str">
        <x:v>Peripheral or facial temperature changes may contain anticipatory information</x:v>
      </x:c>
      <x:c r="E10" s="92" t="str">
        <x:v>Ambient conditions, attachment site, and slow thermal dynamics limit acute specificity</x:v>
      </x:c>
      <x:c r="F10" s="93" t="str">
        <x:v>VIS02;OPT01</x:v>
      </x:c>
    </x:row>
    <x:row r="11" ht="68" customHeight="1">
      <x:c r="A11" s="91" t="str">
        <x:v>Respiration</x:v>
      </x:c>
      <x:c r="B11" s="92" t="str">
        <x:v>Secondary contextual candidate</x:v>
      </x:c>
      <x:c r="C11" s="92" t="str">
        <x:v>Hyperventilation, anxiety, and cardiopulmonary context</x:v>
      </x:c>
      <x:c r="D11" s="92" t="str">
        <x:v>Respiratory change can help distinguish discomfort or anxiety from hemodynamic collapse</x:v>
      </x:c>
      <x:c r="E11" s="92" t="str">
        <x:v>Many devices expose only derived or rest-gated respiratory rate rather than a raw waveform</x:v>
      </x:c>
      <x:c r="F11" s="93" t="str">
        <x:v>CLN20;VIT01</x:v>
      </x:c>
    </x:row>
    <x:row r="12" ht="68" customHeight="1">
      <x:c r="A12" s="91" t="str">
        <x:v>SpO2</x:v>
      </x:c>
      <x:c r="B12" s="92" t="str">
        <x:v>Context and safety comparator</x:v>
      </x:c>
      <x:c r="C12" s="92" t="str">
        <x:v>Late hypoxemia check and optical-quality context</x:v>
      </x:c>
      <x:c r="D12" s="92" t="str">
        <x:v>Useful as a reference safety channel when clinically indicated</x:v>
      </x:c>
      <x:c r="E12" s="92" t="str">
        <x:v>Usually intermittent or algorithmically smoothed and is not an established early VVR detector</x:v>
      </x:c>
      <x:c r="F12" s="93" t="str">
        <x:v>REG03;VAL03</x:v>
      </x:c>
    </x:row>
    <x:row r="13" ht="68" customHeight="1">
      <x:c r="A13" s="91" t="str">
        <x:v>Motion, posture, and robot phase</x:v>
      </x:c>
      <x:c r="B13" s="92" t="str">
        <x:v>Required context and quality channel</x:v>
      </x:c>
      <x:c r="C13" s="92" t="str">
        <x:v>Artifact rejection, procedural staging, and recovery/posture annotation</x:v>
      </x:c>
      <x:c r="D13" s="92" t="str">
        <x:v>Procedure phase and movement are necessary to interpret wearable physiology</x:v>
      </x:c>
      <x:c r="E13" s="92" t="str">
        <x:v>Unlogged movement can create false changes that resemble acute physiology</x:v>
      </x:c>
      <x:c r="F13" s="93" t="str">
        <x:v>CLN08;VAL02</x:v>
      </x:c>
    </x:row>
    <x:row r="14" ht="68" customHeight="1">
      <x:c r="A14" s="91" t="str">
        <x:v>Prodromal symptoms</x:v>
      </x:c>
      <x:c r="B14" s="92" t="str">
        <x:v>Co-primary label channel</x:v>
      </x:c>
      <x:c r="C14" s="92" t="str">
        <x:v>Separate presyncope from pain, anxiety, nausea, and general discomfort</x:v>
      </x:c>
      <x:c r="D14" s="92" t="str">
        <x:v>Prodromes have an ordered time course; standardized donor-reaction instruments and ISBT categories improve labeling</x:v>
      </x:c>
      <x:c r="E14" s="92" t="str">
        <x:v>Self-report can be delayed or absent and must not be treated as a perfect reference</x:v>
      </x:c>
      <x:c r="F14" s="93" t="str">
        <x:v>CLN18;CLN19;CLN20;CLN21</x:v>
      </x:c>
    </x:row>
    <x:row r="15" ht="68" customHeight="1">
      <x:c r="A15" s="94" t="str">
        <x:v>Baseline clinical and procedural risk</x:v>
      </x:c>
      <x:c r="B15" s="95" t="str">
        <x:v>Pre-procedure risk stratum</x:v>
      </x:c>
      <x:c r="C15" s="95" t="str">
        <x:v>Calibrate prior probability before acute sensing</x:v>
      </x:c>
      <x:c r="D15" s="95" t="str">
        <x:v>Age, first donation, blood volume, BP, fear, anxiety, prior reaction, and procedure context recur across donor studies</x:v>
      </x:c>
      <x:c r="E15" s="95" t="str">
        <x:v>Baseline risk factors do not detect an acute event and can encode population bias</x:v>
      </x:c>
      <x:c r="F15" s="96" t="str">
        <x:v>CLN01;CLN02;CLN13</x:v>
      </x:c>
    </x:row>
    <x:row r="16" ht="68" customHeight="1">
      <x:c r="A16" s="94" t="str">
        <x:v>Facial RGB video</x:v>
      </x:c>
      <x:c r="B16" s="95" t="str">
        <x:v>Optional non-wearable auxiliary</x:v>
      </x:c>
      <x:c r="C16" s="95" t="str">
        <x:v>Pre-procedure risk signal and observable pain/anxiety context</x:v>
      </x:c>
      <x:c r="D16" s="95" t="str">
        <x:v>Facial-action and short-video models have shown direct blood-donation VVR classification signals</x:v>
      </x:c>
      <x:c r="E16" s="95" t="str">
        <x:v>Lighting, pose, occlusion, privacy, demographic robustness, and limited external validation</x:v>
      </x:c>
      <x:c r="F16" s="96" t="str">
        <x:v>VIS01;VIS03</x:v>
      </x:c>
    </x:row>
    <x:row r="17" ht="68" customHeight="1">
      <x:c r="A17" s="97" t="str">
        <x:v>Facial thermal imaging</x:v>
      </x:c>
      <x:c r="B17" s="98" t="str">
        <x:v>Optional non-wearable auxiliary</x:v>
      </x:c>
      <x:c r="C17" s="98" t="str">
        <x:v>Pre-procedure autonomic/perfusion signal</x:v>
      </x:c>
      <x:c r="D17" s="98" t="str">
        <x:v>A 193-donor study reported sensitivity 0.87, specificity 0.84, F1 0.86, and PR-AUC 0.93</x:v>
      </x:c>
      <x:c r="E17" s="98" t="str">
        <x:v>Specialized camera, ambient-temperature control, small test set, and no external Vitestro validation</x:v>
      </x:c>
      <x:c r="F17" s="99" t="str">
        <x:v>VIS02;CLN13</x:v>
      </x:c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0df86b8a0f514b9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51" hidden="0" customWidth="1"/>
    <x:col min="4" max="4" width="40" hidden="0" customWidth="1"/>
    <x:col min="5" max="5" width="39" hidden="0" customWidth="1"/>
    <x:col min="6" max="6" width="34" hidden="0" customWidth="1"/>
  </x:cols>
  <x:sheetData>
    <x:row r="1">
      <x:c r="A1" s="3" t="str">
        <x:v>Vitestro Wearable Evaluation Protocol</x:v>
      </x:c>
      <x:c r="B1" s="3"/>
      <x:c r="C1" s="3"/>
      <x:c r="D1" s="3"/>
      <x:c r="E1" s="3"/>
      <x:c r="F1" s="3"/>
    </x:row>
    <x:row r="2">
      <x:c r="A2" s="3"/>
      <x:c r="B2" s="3"/>
      <x:c r="C2" s="3"/>
      <x:c r="D2" s="3"/>
      <x:c r="E2" s="3"/>
      <x:c r="F2" s="3"/>
    </x:row>
    <x:row r="3">
      <x:c r="A3" s="102" t="str">
        <x:v>Research gate plan. Standard clinical observation and response remain authoritative; no unvalidated wearable alert may control the robot or patient care.</x:v>
      </x:c>
      <x:c r="B3" s="102"/>
      <x:c r="C3" s="102"/>
      <x:c r="D3" s="102"/>
      <x:c r="E3" s="102"/>
      <x:c r="F3" s="102"/>
    </x:row>
    <x:row r="5">
      <x:c r="A5" s="50" t="str">
        <x:v>Gate</x:v>
      </x:c>
      <x:c r="B5" s="50" t="str">
        <x:v>Objective</x:v>
      </x:c>
      <x:c r="C5" s="50" t="str">
        <x:v>Required test</x:v>
      </x:c>
      <x:c r="D5" s="50" t="str">
        <x:v>Required output</x:v>
      </x:c>
      <x:c r="E5" s="50" t="str">
        <x:v>Decision rule</x:v>
      </x:c>
      <x:c r="F5" s="50" t="str">
        <x:v>Failure disposition</x:v>
      </x:c>
    </x:row>
    <x:row r="6" ht="76" customHeight="1">
      <x:c r="A6" s="61" t="str">
        <x:v>G0 Contract &amp; ownership</x:v>
      </x:c>
      <x:c r="B6" s="62" t="str">
        <x:v>Legal right to use sample-level data for research/algorithm development</x:v>
      </x:c>
      <x:c r="C6" s="62" t="str">
        <x:v>Review DPA, license, API terms, retention, deletion and vendor-change clauses</x:v>
      </x:c>
      <x:c r="D6" s="62" t="str">
        <x:v>Signed data-rights matrix</x:v>
      </x:c>
      <x:c r="E6" s="62" t="str">
        <x:v>All required signals exportable under approved terms</x:v>
      </x:c>
      <x:c r="F6" s="63" t="str">
        <x:v>Do not procure; UI comparator only</x:v>
      </x:c>
    </x:row>
    <x:row r="7" ht="76" customHeight="1">
      <x:c r="A7" s="91" t="str">
        <x:v>G1 Interface inventory</x:v>
      </x:c>
      <x:c r="B7" s="92" t="str">
        <x:v>Prove exact device/firmware/phone/country capabilities</x:v>
      </x:c>
      <x:c r="C7" s="92" t="str">
        <x:v>Record SDK version, permissions, runtime capability query and sample payloads</x:v>
      </x:c>
      <x:c r="D7" s="92" t="str">
        <x:v>Version-locked interface dossier</x:v>
      </x:c>
      <x:c r="E7" s="92" t="str">
        <x:v>No undocumented dependency for a primary signal</x:v>
      </x:c>
      <x:c r="F7" s="93" t="str">
        <x:v>Mark blocked-by-vendor or downgrade role</x:v>
      </x:c>
    </x:row>
    <x:row r="8" ht="76" customHeight="1">
      <x:c r="A8" s="91" t="str">
        <x:v>G2 Real-time behavior</x:v>
      </x:c>
      <x:c r="B8" s="92" t="str">
        <x:v>Measure latency, batching, dropouts and clock behavior</x:v>
      </x:c>
      <x:c r="C8" s="92" t="str">
        <x:v>60-min sessions: foreground/background/lock/low-battery/BT interruption/phone call</x:v>
      </x:c>
      <x:c r="D8" s="92" t="str">
        <x:v>Latency CDF; dropout runs; timestamp map</x:v>
      </x:c>
      <x:c r="E8" s="92" t="str">
        <x:v>Initial targets: ≥99% completeness; max primary gap ≤2 s; clock median ≤100 ms and P95 ≤250 ms; live-latency P95 ≤2 s</x:v>
      </x:c>
      <x:c r="F8" s="93" t="str">
        <x:v>Historical-data role only</x:v>
      </x:c>
    </x:row>
    <x:row r="9" ht="76" customHeight="1">
      <x:c r="A9" s="91" t="str">
        <x:v>G3 Export parity</x:v>
      </x:c>
      <x:c r="B9" s="92" t="str">
        <x:v>Ensure live, cloud and manual records reconcile</x:v>
      </x:c>
      <x:c r="C9" s="92" t="str">
        <x:v>Export the same session by every supported route</x:v>
      </x:c>
      <x:c r="D9" s="92" t="str">
        <x:v>Sample-count and timestamp reconciliation</x:v>
      </x:c>
      <x:c r="E9" s="92" t="str">
        <x:v>No unexplained loss or time shift</x:v>
      </x:c>
      <x:c r="F9" s="93" t="str">
        <x:v>Block modeling until resolved</x:v>
      </x:c>
    </x:row>
    <x:row r="10" ht="76" customHeight="1">
      <x:c r="A10" s="64" t="str">
        <x:v>G4 Reference validity</x:v>
      </x:c>
      <x:c r="B10" s="65" t="str">
        <x:v>Quantify signal accuracy in Vitestro posture/workflow</x:v>
      </x:c>
      <x:c r="C10" s="65" t="str">
        <x:v>Synchronized 3-lead ECG, beat-to-beat BP, reference SpO2 when relevant</x:v>
      </x:c>
      <x:c r="D10" s="65" t="str">
        <x:v>Agreement, coverage, quality and drift report</x:v>
      </x:c>
      <x:c r="E10" s="65" t="str">
        <x:v>Pre-registered metric thresholds met</x:v>
      </x:c>
      <x:c r="F10" s="66" t="str">
        <x:v>Remove signal/device from model inputs</x:v>
      </x:c>
    </x:row>
    <x:row r="11" ht="76" customHeight="1">
      <x:c r="A11" s="64" t="str">
        <x:v>G5 Robustness</x:v>
      </x:c>
      <x:c r="B11" s="65" t="str">
        <x:v>Detect subgroup and operating-condition failures</x:v>
      </x:c>
      <x:c r="C11" s="65" t="str">
        <x:v>Motion, fit, wrist, wrist circumference, objective skin tone, perfusion and ambient-temperature strata</x:v>
      </x:c>
      <x:c r="D11" s="65" t="str">
        <x:v>Stratified error and missingness audit</x:v>
      </x:c>
      <x:c r="E11" s="65" t="str">
        <x:v>No unacceptable subgroup degradation</x:v>
      </x:c>
      <x:c r="F11" s="66" t="str">
        <x:v>Redesign sensor/placement or restrict intended use</x:v>
      </x:c>
    </x:row>
    <x:row r="12" ht="76" customHeight="1">
      <x:c r="A12" s="64" t="str">
        <x:v>G6 Label standardization</x:v>
      </x:c>
      <x:c r="B12" s="65" t="str">
        <x:v>Separate VVR/presyncope from pain, anxiety, and general discomfort</x:v>
      </x:c>
      <x:c r="C12" s="65" t="str">
        <x:v>Independent adjudication using ISBT/IHN VVR categories, brief BDRI, robot phase, operator observations, and reference physiology</x:v>
      </x:c>
      <x:c r="D12" s="65" t="str">
        <x:v>Timestamped label ledger with source and adjudication status</x:v>
      </x:c>
      <x:c r="E12" s="65" t="str">
        <x:v>No experimental wearable output used to define its own outcome</x:v>
      </x:c>
      <x:c r="F12" s="66" t="str">
        <x:v>Block model training until labels are reconciled</x:v>
      </x:c>
    </x:row>
    <x:row r="13" ht="76" customHeight="1">
      <x:c r="A13" s="94" t="str">
        <x:v>G7 Clinical feasibility</x:v>
      </x:c>
      <x:c r="B13" s="95" t="str">
        <x:v>Estimate event sensitivity, false alarms and warning lead time</x:v>
      </x:c>
      <x:c r="C13" s="95" t="str">
        <x:v>Prospective blood-draw cohort with frozen labels/model and participant-level split</x:v>
      </x:c>
      <x:c r="D13" s="95" t="str">
        <x:v>Sensitivity/specificity/PPV; false alarms per procedure/hour; lead-time distribution</x:v>
      </x:c>
      <x:c r="E13" s="95" t="str">
        <x:v>Pre-registered confidence bounds met</x:v>
      </x:c>
      <x:c r="F13" s="96" t="str">
        <x:v>Research only; no patient alert</x:v>
      </x:c>
    </x:row>
    <x:row r="14" ht="76" customHeight="1">
      <x:c r="A14" s="94" t="str">
        <x:v>G8 Human factors &amp; safety</x:v>
      </x:c>
      <x:c r="B14" s="95" t="str">
        <x:v>Ensure alerts do not delay standard care or create unsafe robot actions</x:v>
      </x:c>
      <x:c r="C14" s="95" t="str">
        <x:v>Simulated-use and hazard analysis with clinicians/operators</x:v>
      </x:c>
      <x:c r="D14" s="95" t="str">
        <x:v>Use-error report and risk controls</x:v>
      </x:c>
      <x:c r="E14" s="95" t="str">
        <x:v>Residual risk acceptable and workflow approved</x:v>
      </x:c>
      <x:c r="F14" s="96" t="str">
        <x:v>No patient-facing or robot integration</x:v>
      </x:c>
    </x:row>
    <x:row r="15" ht="76" customHeight="1">
      <x:c r="A15" s="97" t="str">
        <x:v>G9 Regulatory &amp; QMS</x:v>
      </x:c>
      <x:c r="B15" s="98" t="str">
        <x:v>Align intended use, software lifecycle and vendor controls</x:v>
      </x:c>
      <x:c r="C15" s="98" t="str">
        <x:v>Regulatory classification, cybersecurity, change control, traceability and post-market plan</x:v>
      </x:c>
      <x:c r="D15" s="98" t="str">
        <x:v>Approved regulatory/quality strategy</x:v>
      </x:c>
      <x:c r="E15" s="98" t="str">
        <x:v>All launch prerequisites satisfied</x:v>
      </x:c>
      <x:c r="F15" s="99" t="str">
        <x:v>Keep as non-device research prototype</x:v>
      </x:c>
    </x:row>
  </x:sheetData>
  <x:mergeCells>
    <x:mergeCell ref="A1:F2"/>
    <x:mergeCell ref="A3:F3"/>
  </x:mergeCells>
  <x:pageMargins left="0.7" right="0.7" top="0.75" bottom="0.75" header="0.3" footer="0.3"/>
  <x:tableParts count="1">
    <x:tablePart xmlns:r="http://schemas.openxmlformats.org/officeDocument/2006/relationships" r:id="R6b60165d28e841e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0" hidden="0" customWidth="1"/>
    <x:col min="3" max="3" width="3" hidden="0" customWidth="1"/>
    <x:col min="4" max="4" width="27" hidden="0" customWidth="1"/>
    <x:col min="5" max="5" width="10" hidden="0" customWidth="1"/>
    <x:col min="6" max="6" width="3" hidden="0" customWidth="1"/>
    <x:col min="7" max="7" width="14" hidden="0" customWidth="1"/>
    <x:col min="8" max="8" width="43" hidden="0" customWidth="1"/>
  </x:cols>
  <x:sheetData>
    <x:row r="1">
      <x:c r="A1" s="3" t="str">
        <x:v>Vitestro Wearable Scorecard — Codebook</x:v>
      </x:c>
      <x:c r="B1" s="3"/>
      <x:c r="C1" s="3"/>
      <x:c r="D1" s="3"/>
      <x:c r="E1" s="3"/>
      <x:c r="F1" s="3"/>
      <x:c r="G1" s="3"/>
      <x:c r="H1" s="3"/>
    </x:row>
    <x:row r="2">
      <x:c r="A2" s="3"/>
      <x:c r="B2" s="3"/>
      <x:c r="C2" s="3"/>
      <x:c r="D2" s="3"/>
      <x:c r="E2" s="3"/>
      <x:c r="F2" s="3"/>
      <x:c r="G2" s="3"/>
      <x:c r="H2" s="3"/>
    </x:row>
    <x:row r="4">
      <x:c r="A4" s="6" t="str">
        <x:v>Acute sensing input</x:v>
      </x:c>
      <x:c r="B4" s="6" t="str">
        <x:v>Weight</x:v>
      </x:c>
      <x:c r="D4" s="6" t="str">
        <x:v>Data access input</x:v>
      </x:c>
      <x:c r="E4" s="6" t="str">
        <x:v>Weight</x:v>
      </x:c>
      <x:c r="G4" s="6" t="str">
        <x:v>Encoded value</x:v>
      </x:c>
      <x:c r="H4" s="6" t="str">
        <x:v>Displayed symbol</x:v>
      </x:c>
    </x:row>
    <x:row r="5">
      <x:c r="A5" s="7" t="str">
        <x:v>HR</x:v>
      </x:c>
      <x:c r="B5" s="8" t="n">
        <x:v>5</x:v>
      </x:c>
      <x:c r="D5" s="7" t="str">
        <x:v>Background recording</x:v>
      </x:c>
      <x:c r="E5" s="8" t="n">
        <x:v>5</x:v>
      </x:c>
      <x:c r="G5" s="7" t="n">
        <x:v>1</x:v>
      </x:c>
      <x:c r="H5" s="8" t="str">
        <x:v>✓ Supported in a relevant mode</x:v>
      </x:c>
    </x:row>
    <x:row r="6">
      <x:c r="A6" s="9" t="str">
        <x:v>IBI / HRV</x:v>
      </x:c>
      <x:c r="B6" s="10" t="n">
        <x:v>7</x:v>
      </x:c>
      <x:c r="D6" s="9" t="str">
        <x:v>Live programmatic stream</x:v>
      </x:c>
      <x:c r="E6" s="10" t="n">
        <x:v>12</x:v>
      </x:c>
      <x:c r="G6" s="9" t="n">
        <x:v>0.5</x:v>
      </x:c>
      <x:c r="H6" s="10" t="str">
        <x:v>△ Conditional / spot / night / derived / gated</x:v>
      </x:c>
    </x:row>
    <x:row r="7">
      <x:c r="A7" s="9" t="str">
        <x:v>Raw PPG / BVP</x:v>
      </x:c>
      <x:c r="B7" s="10" t="n">
        <x:v>10</x:v>
      </x:c>
      <x:c r="D7" s="9" t="str">
        <x:v>Raw waveform export</x:v>
      </x:c>
      <x:c r="E7" s="10" t="n">
        <x:v>8</x:v>
      </x:c>
      <x:c r="G7" s="11" t="n">
        <x:v>0</x:v>
      </x:c>
      <x:c r="H7" s="12" t="str">
        <x:v>✗ Not confirmed in public documentation</x:v>
      </x:c>
    </x:row>
    <x:row r="8">
      <x:c r="A8" s="9" t="str">
        <x:v>ECG</x:v>
      </x:c>
      <x:c r="B8" s="10" t="n">
        <x:v>3</x:v>
      </x:c>
      <x:c r="D8" s="9" t="str">
        <x:v>API / SDK</x:v>
      </x:c>
      <x:c r="E8" s="10" t="n">
        <x:v>7</x:v>
      </x:c>
    </x:row>
    <x:row r="9">
      <x:c r="A9" s="9" t="str">
        <x:v>Actual BP</x:v>
      </x:c>
      <x:c r="B9" s="10" t="n">
        <x:v>5</x:v>
      </x:c>
      <x:c r="D9" s="11" t="str">
        <x:v>Manual export</x:v>
      </x:c>
      <x:c r="E9" s="12" t="n">
        <x:v>3</x:v>
      </x:c>
    </x:row>
    <x:row r="10">
      <x:c r="A10" s="9" t="str">
        <x:v>Continuous BP</x:v>
      </x:c>
      <x:c r="B10" s="10" t="n">
        <x:v>15</x:v>
      </x:c>
    </x:row>
    <x:row r="11">
      <x:c r="A11" s="9" t="str">
        <x:v>SpO2</x:v>
      </x:c>
      <x:c r="B11" s="10" t="n">
        <x:v>3</x:v>
      </x:c>
    </x:row>
    <x:row r="12">
      <x:c r="A12" s="9" t="str">
        <x:v>Skin temperature</x:v>
      </x:c>
      <x:c r="B12" s="10" t="n">
        <x:v>3</x:v>
      </x:c>
    </x:row>
    <x:row r="13">
      <x:c r="A13" s="9" t="str">
        <x:v>EDA</x:v>
      </x:c>
      <x:c r="B13" s="10" t="n">
        <x:v>7</x:v>
      </x:c>
    </x:row>
    <x:row r="14">
      <x:c r="A14" s="9" t="str">
        <x:v>Respiration</x:v>
      </x:c>
      <x:c r="B14" s="10" t="n">
        <x:v>2</x:v>
      </x:c>
    </x:row>
    <x:row r="15">
      <x:c r="A15" s="11" t="str">
        <x:v>Motion / posture</x:v>
      </x:c>
      <x:c r="B15" s="12" t="n">
        <x:v>5</x:v>
      </x:c>
    </x:row>
    <x:row r="18">
      <x:c r="A18" s="6" t="str">
        <x:v>Scoring boundary</x:v>
      </x:c>
      <x:c r="B18" s="6"/>
      <x:c r="C18" s="6"/>
      <x:c r="D18" s="6"/>
      <x:c r="E18" s="6"/>
      <x:c r="F18" s="6"/>
      <x:c r="G18" s="6"/>
      <x:c r="H18" s="6"/>
    </x:row>
    <x:row r="19">
      <x:c r="A19" s="16" t="str">
        <x:v>Capability score = 65 points for acute-sensing inputs + 35 points for data access. It is intentionally not a clinical-accuracy, regulatory-clearance, price, or procurement score. A vendor claim receives only the documented capability value; every device still requires the staged protocol. Product/API state was reviewed on 2026-07-23 and can change by firmware, country, phone, contract, and OS policy.</x:v>
      </x:c>
      <x:c r="B19" s="16"/>
      <x:c r="C19" s="16"/>
      <x:c r="D19" s="16"/>
      <x:c r="E19" s="16"/>
      <x:c r="F19" s="16"/>
      <x:c r="G19" s="16"/>
      <x:c r="H19" s="16"/>
    </x:row>
    <x:row r="20">
      <x:c r="A20" s="16"/>
      <x:c r="B20" s="16"/>
      <x:c r="C20" s="16"/>
      <x:c r="D20" s="16"/>
      <x:c r="E20" s="16"/>
      <x:c r="F20" s="16"/>
      <x:c r="G20" s="16"/>
      <x:c r="H20" s="16"/>
    </x:row>
    <x:row r="21">
      <x:c r="A21" s="16"/>
      <x:c r="B21" s="16"/>
      <x:c r="C21" s="16"/>
      <x:c r="D21" s="16"/>
      <x:c r="E21" s="16"/>
      <x:c r="F21" s="16"/>
      <x:c r="G21" s="16"/>
      <x:c r="H21" s="16"/>
    </x:row>
    <x:row r="22">
      <x:c r="A22" s="16"/>
      <x:c r="B22" s="16"/>
      <x:c r="C22" s="16"/>
      <x:c r="D22" s="16"/>
      <x:c r="E22" s="16"/>
      <x:c r="F22" s="16"/>
      <x:c r="G22" s="16"/>
      <x:c r="H22" s="16"/>
    </x:row>
    <x:row r="23">
      <x:c r="A23" s="16"/>
      <x:c r="B23" s="16"/>
      <x:c r="C23" s="16"/>
      <x:c r="D23" s="16"/>
      <x:c r="E23" s="16"/>
      <x:c r="F23" s="16"/>
      <x:c r="G23" s="16"/>
      <x:c r="H23" s="16"/>
    </x:row>
    <x:row r="25">
      <x:c r="A25" s="6" t="str">
        <x:v>Interpretation</x:v>
      </x:c>
      <x:c r="B25" s="6"/>
      <x:c r="C25" s="6"/>
      <x:c r="D25" s="6"/>
      <x:c r="E25" s="6"/>
      <x:c r="F25" s="6"/>
      <x:c r="G25" s="6"/>
      <x:c r="H25" s="6"/>
    </x:row>
    <x:row r="26">
      <x:c r="A26" s="20" t="str">
        <x:v>The Apple Watch row is the comparison baseline. Delta vs Apple is a capability-score difference, not proof of superiority. Blood-pressure notifications, hypertension-risk features, and daily cuff-calibrated estimates are not coded as continuous BP. Real-time means a study app can programmatically receive samples; a live number in the vendor UI does not qualify.</x:v>
      </x:c>
      <x:c r="B26" s="20"/>
      <x:c r="C26" s="20"/>
      <x:c r="D26" s="20"/>
      <x:c r="E26" s="20"/>
      <x:c r="F26" s="20"/>
      <x:c r="G26" s="20"/>
      <x:c r="H26" s="20"/>
    </x:row>
    <x:row r="27">
      <x:c r="A27" s="20"/>
      <x:c r="B27" s="20"/>
      <x:c r="C27" s="20"/>
      <x:c r="D27" s="20"/>
      <x:c r="E27" s="20"/>
      <x:c r="F27" s="20"/>
      <x:c r="G27" s="20"/>
      <x:c r="H27" s="20"/>
    </x:row>
    <x:row r="28">
      <x:c r="A28" s="20"/>
      <x:c r="B28" s="20"/>
      <x:c r="C28" s="20"/>
      <x:c r="D28" s="20"/>
      <x:c r="E28" s="20"/>
      <x:c r="F28" s="20"/>
      <x:c r="G28" s="20"/>
      <x:c r="H28" s="20"/>
    </x:row>
    <x:row r="29">
      <x:c r="A29" s="20"/>
      <x:c r="B29" s="20"/>
      <x:c r="C29" s="20"/>
      <x:c r="D29" s="20"/>
      <x:c r="E29" s="20"/>
      <x:c r="F29" s="20"/>
      <x:c r="G29" s="20"/>
      <x:c r="H29" s="20"/>
    </x:row>
    <x:row r="30">
      <x:c r="A30" s="20"/>
      <x:c r="B30" s="20"/>
      <x:c r="C30" s="20"/>
      <x:c r="D30" s="20"/>
      <x:c r="E30" s="20"/>
      <x:c r="F30" s="20"/>
      <x:c r="G30" s="20"/>
      <x:c r="H30" s="20"/>
    </x:row>
  </x:sheetData>
  <x:mergeCells>
    <x:mergeCell ref="A1:H2"/>
    <x:mergeCell ref="A18:H18"/>
    <x:mergeCell ref="A19:H23"/>
    <x:mergeCell ref="A25:H25"/>
    <x:mergeCell ref="A26:H30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27" hidden="0" customWidth="1"/>
    <x:col min="4" max="4" width="61" hidden="0" customWidth="1"/>
    <x:col min="5" max="5" width="27" hidden="0" customWidth="1"/>
    <x:col min="6" max="6" width="72" hidden="0" customWidth="1"/>
    <x:col min="7" max="7" width="17" hidden="0" customWidth="1"/>
    <x:col min="8" max="8" width="17" hidden="0" customWidth="1"/>
    <x:col min="9" max="9" width="13" hidden="0" customWidth="1"/>
    <x:col min="10" max="10" width="45" hidden="0" customWidth="1"/>
  </x:cols>
  <x:sheetData>
    <x:row r="1" ht="38" customHeight="1">
      <x:c r="A1" s="106" t="str">
        <x:v>source_id</x:v>
      </x:c>
      <x:c r="B1" s="106" t="str">
        <x:v>category</x:v>
      </x:c>
      <x:c r="C1" s="106" t="str">
        <x:v>entity</x:v>
      </x:c>
      <x:c r="D1" s="106" t="str">
        <x:v>claim_supported</x:v>
      </x:c>
      <x:c r="E1" s="106" t="str">
        <x:v>source_type</x:v>
      </x:c>
      <x:c r="F1" s="106" t="str">
        <x:v>url</x:v>
      </x:c>
      <x:c r="G1" s="106" t="str">
        <x:v>published_or_updated</x:v>
      </x:c>
      <x:c r="H1" s="106" t="str">
        <x:v>accessed_at</x:v>
      </x:c>
      <x:c r="I1" s="106" t="str">
        <x:v>confidence</x:v>
      </x:c>
      <x:c r="J1" s="106" t="str">
        <x:v>notes</x:v>
      </x:c>
    </x:row>
    <x:row r="2">
      <x:c r="A2" s="109" t="str">
        <x:v>CLN01</x:v>
      </x:c>
      <x:c r="B2" s="109" t="str">
        <x:v>clinical</x:v>
      </x:c>
      <x:c r="C2" s="109" t="str">
        <x:v>Blood-donation vasovagal reactions</x:v>
      </x:c>
      <x:c r="D2" s="109" t="str">
        <x:v>Younger age, first donation, smaller blood volume, lower BP, fear, and anxiety are associated with vasovagal-reaction risk</x:v>
      </x:c>
      <x:c r="E2" s="109" t="str">
        <x:v>peer-reviewed systematic review and meta-analysis</x:v>
      </x:c>
      <x:c r="F2" s="109" t="str">
        <x:v>https://pubmed.ncbi.nlm.nih.gov/39587929/</x:v>
      </x:c>
      <x:c r="G2" s="109" t="str">
        <x:v>2025</x:v>
      </x:c>
      <x:c r="H2" s="109" t="str">
        <x:v>2026-07-23</x:v>
      </x:c>
      <x:c r="I2" s="109" t="str">
        <x:v>high</x:v>
      </x:c>
      <x:c r="J2" s="109" t="str">
        <x:v>71 studies and approximately 19 million donations; risk association is not an acute detector</x:v>
      </x:c>
    </x:row>
    <x:row r="3">
      <x:c r="A3" s="109" t="str">
        <x:v>CLN02</x:v>
      </x:c>
      <x:c r="B3" s="109" t="str">
        <x:v>clinical</x:v>
      </x:c>
      <x:c r="C3" s="109" t="str">
        <x:v>Blood-donation syncope predictors</x:v>
      </x:c>
      <x:c r="D3" s="109" t="str">
        <x:v>Age, sex, blood volume, donor status, BP, HR, prior reaction, caffeine, sleep, weight, and setting recur as predictors</x:v>
      </x:c>
      <x:c r="E3" s="109" t="str">
        <x:v>peer-reviewed systematic review</x:v>
      </x:c>
      <x:c r="F3" s="109" t="str">
        <x:v>https://pubmed.ncbi.nlm.nih.gov/31276216/</x:v>
      </x:c>
      <x:c r="G3" s="109" t="str">
        <x:v>2019</x:v>
      </x:c>
      <x:c r="H3" s="109" t="str">
        <x:v>2026-07-23</x:v>
      </x:c>
      <x:c r="I3" s="109" t="str">
        <x:v>high</x:v>
      </x:c>
      <x:c r="J3" s="109" t="str">
        <x:v>Baseline risk factors should remain separate from acute sensing</x:v>
      </x:c>
    </x:row>
    <x:row r="4">
      <x:c r="A4" s="109" t="str">
        <x:v>CLN03</x:v>
      </x:c>
      <x:c r="B4" s="109" t="str">
        <x:v>clinical</x:v>
      </x:c>
      <x:c r="C4" s="109" t="str">
        <x:v>Vasovagal syncope prediction</x:v>
      </x:c>
      <x:c r="D4" s="109" t="str">
        <x:v>Joint continuous SBP and R-R trend and variability predicted tilt-induced syncope in 1155 patients</x:v>
      </x:c>
      <x:c r="E4" s="109" t="str">
        <x:v>peer-reviewed cohort and algorithm study</x:v>
      </x:c>
      <x:c r="F4" s="109" t="str">
        <x:v>https://pubmed.ncbi.nlm.nih.gov/17954394/</x:v>
      </x:c>
      <x:c r="G4" s="109" t="str">
        <x:v>2007</x:v>
      </x:c>
      <x:c r="H4" s="109" t="str">
        <x:v>2026-07-23</x:v>
      </x:c>
      <x:c r="I4" s="109" t="str">
        <x:v>high</x:v>
      </x:c>
      <x:c r="J4" s="109" t="str">
        <x:v>Reported sensitivity 95% and specificity 93%; not venipuncture validation</x:v>
      </x:c>
    </x:row>
    <x:row r="5">
      <x:c r="A5" s="109" t="str">
        <x:v>CLN04</x:v>
      </x:c>
      <x:c r="B5" s="109" t="str">
        <x:v>clinical</x:v>
      </x:c>
      <x:c r="C5" s="109" t="str">
        <x:v>Painful vascular instrumentation</x:v>
      </x:c>
      <x:c r="D5" s="109" t="str">
        <x:v>Painful intravascular instrumentation reduced orthostatic tolerance in a controlled physiology study</x:v>
      </x:c>
      <x:c r="E5" s="109" t="str">
        <x:v>peer-reviewed physiology study</x:v>
      </x:c>
      <x:c r="F5" s="109" t="str">
        <x:v>https://pubmed.ncbi.nlm.nih.gov/37589875/</x:v>
      </x:c>
      <x:c r="G5" s="109" t="str">
        <x:v>2023</x:v>
      </x:c>
      <x:c r="H5" s="109" t="str">
        <x:v>2026-07-23</x:v>
      </x:c>
      <x:c r="I5" s="109" t="str">
        <x:v>high</x:v>
      </x:c>
      <x:c r="J5" s="109" t="str">
        <x:v>Supports procedure-specific validation</x:v>
      </x:c>
    </x:row>
    <x:row r="6">
      <x:c r="A6" s="109" t="str">
        <x:v>CLN05</x:v>
      </x:c>
      <x:c r="B6" s="109" t="str">
        <x:v>clinical</x:v>
      </x:c>
      <x:c r="C6" s="109" t="str">
        <x:v>Blood and injection response</x:v>
      </x:c>
      <x:c r="D6" s="109" t="str">
        <x:v>Blood-draw and injection stimuli were evaluated with self-report, BP, and HRV</x:v>
      </x:c>
      <x:c r="E6" s="109" t="str">
        <x:v>peer-reviewed study</x:v>
      </x:c>
      <x:c r="F6" s="109" t="str">
        <x:v>https://pubmed.ncbi.nlm.nih.gov/22416882/</x:v>
      </x:c>
      <x:c r="G6" s="109" t="str">
        <x:v>2012</x:v>
      </x:c>
      <x:c r="H6" s="109" t="str">
        <x:v>2026-07-23</x:v>
      </x:c>
      <x:c r="I6" s="109" t="str">
        <x:v>medium</x:v>
      </x:c>
      <x:c r="J6" s="109" t="str">
        <x:v>Supports synchronized symptom and physiology labels</x:v>
      </x:c>
    </x:row>
    <x:row r="7">
      <x:c r="A7" s="109" t="str">
        <x:v>CLN06</x:v>
      </x:c>
      <x:c r="B7" s="109" t="str">
        <x:v>clinical</x:v>
      </x:c>
      <x:c r="C7" s="109" t="str">
        <x:v>Syncope pathophysiology</x:v>
      </x:c>
      <x:c r="D7" s="109" t="str">
        <x:v>Contemporary review describes hemodynamic and autonomic mechanisms of syncopal reactions</x:v>
      </x:c>
      <x:c r="E7" s="109" t="str">
        <x:v>peer-reviewed review</x:v>
      </x:c>
      <x:c r="F7" s="109" t="str">
        <x:v>https://pubmed.ncbi.nlm.nih.gov/39822686/</x:v>
      </x:c>
      <x:c r="G7" s="109" t="str">
        <x:v>2025</x:v>
      </x:c>
      <x:c r="H7" s="109" t="str">
        <x:v>2026-07-23</x:v>
      </x:c>
      <x:c r="I7" s="109" t="str">
        <x:v>high</x:v>
      </x:c>
      <x:c r="J7" s="109" t="str">
        <x:v>Mechanism background</x:v>
      </x:c>
    </x:row>
    <x:row r="8">
      <x:c r="A8" s="109" t="str">
        <x:v>CLN07</x:v>
      </x:c>
      <x:c r="B8" s="109" t="str">
        <x:v>clinical</x:v>
      </x:c>
      <x:c r="C8" s="109" t="str">
        <x:v>Counterpressure and hemodynamics</x:v>
      </x:c>
      <x:c r="D8" s="109" t="str">
        <x:v>SBP, DBP, MAP, HR, stroke volume, cardiac output, and resistance are relevant hemodynamic outcomes</x:v>
      </x:c>
      <x:c r="E8" s="109" t="str">
        <x:v>peer-reviewed systematic review</x:v>
      </x:c>
      <x:c r="F8" s="109" t="str">
        <x:v>https://pubmed.ncbi.nlm.nih.gov/36312294/</x:v>
      </x:c>
      <x:c r="G8" s="109" t="str">
        <x:v>2022</x:v>
      </x:c>
      <x:c r="H8" s="109" t="str">
        <x:v>2026-07-23</x:v>
      </x:c>
      <x:c r="I8" s="109" t="str">
        <x:v>high</x:v>
      </x:c>
      <x:c r="J8" s="109" t="str">
        <x:v>Supports the reference-measurement set</x:v>
      </x:c>
    </x:row>
    <x:row r="9">
      <x:c r="A9" s="109" t="str">
        <x:v>CLN08</x:v>
      </x:c>
      <x:c r="B9" s="109" t="str">
        <x:v>clinical</x:v>
      </x:c>
      <x:c r="C9" s="109" t="str">
        <x:v>Wearable PPG accuracy</x:v>
      </x:c>
      <x:c r="D9" s="109" t="str">
        <x:v>Wearable PPG accuracy and application limits vary by device and use context</x:v>
      </x:c>
      <x:c r="E9" s="109" t="str">
        <x:v>peer-reviewed scoping review</x:v>
      </x:c>
      <x:c r="F9" s="109" t="str">
        <x:v>https://pubmed.ncbi.nlm.nih.gov/36288566/</x:v>
      </x:c>
      <x:c r="G9" s="109" t="str">
        <x:v>2023</x:v>
      </x:c>
      <x:c r="H9" s="109" t="str">
        <x:v>2026-07-23</x:v>
      </x:c>
      <x:c r="I9" s="109" t="str">
        <x:v>high</x:v>
      </x:c>
      <x:c r="J9" s="109" t="str">
        <x:v>Device generation and task matter</x:v>
      </x:c>
    </x:row>
    <x:row r="10">
      <x:c r="A10" s="109" t="str">
        <x:v>CLN09</x:v>
      </x:c>
      <x:c r="B10" s="109" t="str">
        <x:v>clinical</x:v>
      </x:c>
      <x:c r="C10" s="109" t="str">
        <x:v>PRV versus HRV</x:v>
      </x:c>
      <x:c r="D10" s="109" t="str">
        <x:v>PPG-derived PRV is not automatically interchangeable with ECG-derived HRV</x:v>
      </x:c>
      <x:c r="E10" s="109" t="str">
        <x:v>peer-reviewed clinical study</x:v>
      </x:c>
      <x:c r="F10" s="109" t="str">
        <x:v>https://pubmed.ncbi.nlm.nih.gov/40809286/</x:v>
      </x:c>
      <x:c r="G10" s="109" t="str">
        <x:v>2025</x:v>
      </x:c>
      <x:c r="H10" s="109" t="str">
        <x:v>2026-07-23</x:v>
      </x:c>
      <x:c r="I10" s="109" t="str">
        <x:v>high</x:v>
      </x:c>
      <x:c r="J10" s="109" t="str">
        <x:v>931 adults; report signal source explicitly</x:v>
      </x:c>
    </x:row>
    <x:row r="11">
      <x:c r="A11" s="109" t="str">
        <x:v>CLN10</x:v>
      </x:c>
      <x:c r="B11" s="109" t="str">
        <x:v>clinical</x:v>
      </x:c>
      <x:c r="C11" s="109" t="str">
        <x:v>Hemodynamic mechanism of VVS</x:v>
      </x:c>
      <x:c r="D11" s="109" t="str">
        <x:v>Reduced stroke volume and cardioinhibition contributed to the BP decrease before tilt-induced VVS</x:v>
      </x:c>
      <x:c r="E11" s="109" t="str">
        <x:v>peer-reviewed cohort study</x:v>
      </x:c>
      <x:c r="F11" s="109" t="str">
        <x:v>https://pubmed.ncbi.nlm.nih.gov/32460687/</x:v>
      </x:c>
      <x:c r="G11" s="109" t="str">
        <x:v>2020</x:v>
      </x:c>
      <x:c r="H11" s="109" t="str">
        <x:v>2026-07-23</x:v>
      </x:c>
      <x:c r="I11" s="109" t="str">
        <x:v>high</x:v>
      </x:c>
      <x:c r="J11" s="109" t="str">
        <x:v>Continuous ECG and hemodynamics in 163 patients</x:v>
      </x:c>
    </x:row>
    <x:row r="12">
      <x:c r="A12" s="109" t="str">
        <x:v>CLN11</x:v>
      </x:c>
      <x:c r="B12" s="109" t="str">
        <x:v>clinical</x:v>
      </x:c>
      <x:c r="C12" s="109" t="str">
        <x:v>Modern ECG and BP changes in syncope</x:v>
      </x:c>
      <x:c r="D12" s="109" t="str">
        <x:v>Blood-pressure dynamics provided greater etiologic discrimination than ECG time-domain measures during tilt testing</x:v>
      </x:c>
      <x:c r="E12" s="109" t="str">
        <x:v>peer-reviewed study</x:v>
      </x:c>
      <x:c r="F12" s="109" t="str">
        <x:v>https://pubmed.ncbi.nlm.nih.gov/42245899/</x:v>
      </x:c>
      <x:c r="G12" s="109" t="str">
        <x:v>2026</x:v>
      </x:c>
      <x:c r="H12" s="109" t="str">
        <x:v>2026-07-23</x:v>
      </x:c>
      <x:c r="I12" s="109" t="str">
        <x:v>medium</x:v>
      </x:c>
      <x:c r="J12" s="109" t="str">
        <x:v>Recent study; not venipuncture-specific</x:v>
      </x:c>
    </x:row>
    <x:row r="13">
      <x:c r="A13" s="109" t="str">
        <x:v>CLN12</x:v>
      </x:c>
      <x:c r="B13" s="109" t="str">
        <x:v>clinical</x:v>
      </x:c>
      <x:c r="C13" s="109" t="str">
        <x:v>HRV and VVS risk</x:v>
      </x:c>
      <x:c r="D13" s="109" t="str">
        <x:v>Holter-derived HR and HRV metrics showed only moderate predictive ability for VVS</x:v>
      </x:c>
      <x:c r="E13" s="109" t="str">
        <x:v>peer-reviewed retrospective study</x:v>
      </x:c>
      <x:c r="F13" s="109" t="str">
        <x:v>https://pubmed.ncbi.nlm.nih.gov/41647805/</x:v>
      </x:c>
      <x:c r="G13" s="109" t="str">
        <x:v>2025</x:v>
      </x:c>
      <x:c r="H13" s="109" t="str">
        <x:v>2026-07-23</x:v>
      </x:c>
      <x:c r="I13" s="109" t="str">
        <x:v>medium</x:v>
      </x:c>
      <x:c r="J13" s="109" t="str">
        <x:v>Supports multimodal rather than HRV-only design</x:v>
      </x:c>
    </x:row>
    <x:row r="14">
      <x:c r="A14" s="109" t="str">
        <x:v>VVS01</x:v>
      </x:c>
      <x:c r="B14" s="109" t="str">
        <x:v>clinical</x:v>
      </x:c>
      <x:c r="C14" s="109" t="str">
        <x:v>Smartwatch PPG VVS prediction</x:v>
      </x:c>
      <x:c r="D14" s="109" t="str">
        <x:v>Galaxy Watch 6 raw 25 Hz PPG with a five-minute model window predicted HUT VVS in 132 patients</x:v>
      </x:c>
      <x:c r="E14" s="109" t="str">
        <x:v>peer-reviewed prospective machine-learning study</x:v>
      </x:c>
      <x:c r="F14" s="109" t="str">
        <x:v>https://academic.oup.com/ehjdh/article/7/4/ztag053/8586837</x:v>
      </x:c>
      <x:c r="G14" s="109" t="str">
        <x:v>2026</x:v>
      </x:c>
      <x:c r="H14" s="109" t="str">
        <x:v>2026-07-23</x:v>
      </x:c>
      <x:c r="I14" s="109" t="str">
        <x:v>high</x:v>
      </x:c>
      <x:c r="J14" s="109" t="str">
        <x:v>AUROC 0.91; specificity 0.64 at sensitivity 0.90; controlled HUT and nitroglycerin limit generalization</x:v>
      </x:c>
    </x:row>
    <x:row r="15">
      <x:c r="A15" s="109" t="str">
        <x:v>BP01</x:v>
      </x:c>
      <x:c r="B15" s="109" t="str">
        <x:v>clinical</x:v>
      </x:c>
      <x:c r="C15" s="109" t="str">
        <x:v>Wearable cuffless BP</x:v>
      </x:c>
      <x:c r="D15" s="109" t="str">
        <x:v>Earlier validation literature showed heterogeneous devices and incomplete conformity with clinical validation expectations</x:v>
      </x:c>
      <x:c r="E15" s="109" t="str">
        <x:v>peer-reviewed systematic review and meta-analysis</x:v>
      </x:c>
      <x:c r="F15" s="109" t="str">
        <x:v>https://pubmed.ncbi.nlm.nih.gov/36713001/</x:v>
      </x:c>
      <x:c r="G15" s="109" t="str">
        <x:v>2022</x:v>
      </x:c>
      <x:c r="H15" s="109" t="str">
        <x:v>2026-07-23</x:v>
      </x:c>
      <x:c r="I15" s="109" t="str">
        <x:v>high</x:v>
      </x:c>
      <x:c r="J15" s="109" t="str">
        <x:v>Cuffless claims require endpoint-specific validation</x:v>
      </x:c>
    </x:row>
    <x:row r="16">
      <x:c r="A16" s="109" t="str">
        <x:v>BP02</x:v>
      </x:c>
      <x:c r="B16" s="109" t="str">
        <x:v>clinical</x:v>
      </x:c>
      <x:c r="C16" s="109" t="str">
        <x:v>Continuous wearable cuffless BP</x:v>
      </x:c>
      <x:c r="D16" s="109" t="str">
        <x:v>Recent meta-analysis found remaining accuracy and comparability concerns against ambulatory BP references</x:v>
      </x:c>
      <x:c r="E16" s="109" t="str">
        <x:v>peer-reviewed systematic review and meta-analysis</x:v>
      </x:c>
      <x:c r="F16" s="109" t="str">
        <x:v>https://pubmed.ncbi.nlm.nih.gov/41321467/</x:v>
      </x:c>
      <x:c r="G16" s="109" t="str">
        <x:v>2025</x:v>
      </x:c>
      <x:c r="H16" s="109" t="str">
        <x:v>2026-07-23</x:v>
      </x:c>
      <x:c r="I16" s="109" t="str">
        <x:v>high</x:v>
      </x:c>
      <x:c r="J16" s="109" t="str">
        <x:v>Methods and calibration vary across products</x:v>
      </x:c>
    </x:row>
    <x:row r="17">
      <x:c r="A17" s="109" t="str">
        <x:v>OPT01</x:v>
      </x:c>
      <x:c r="B17" s="109" t="str">
        <x:v>clinical</x:v>
      </x:c>
      <x:c r="C17" s="109" t="str">
        <x:v>Skin pigmentation and optical sensing</x:v>
      </x:c>
      <x:c r="D17" s="109" t="str">
        <x:v>SpO2 and wearable pulse-rate accuracy must be evaluated across objective pigmentation groups</x:v>
      </x:c>
      <x:c r="E17" s="109" t="str">
        <x:v>peer-reviewed systematic review and meta-analysis</x:v>
      </x:c>
      <x:c r="F17" s="109" t="str">
        <x:v>https://pubmed.ncbi.nlm.nih.gov/39388258/</x:v>
      </x:c>
      <x:c r="G17" s="109" t="str">
        <x:v>2024</x:v>
      </x:c>
      <x:c r="H17" s="109" t="str">
        <x:v>2026-07-23</x:v>
      </x:c>
      <x:c r="I17" s="109" t="str">
        <x:v>high</x:v>
      </x:c>
      <x:c r="J17" s="109" t="str">
        <x:v>Wide pulse-rate limits of agreement and SpO2 concerns</x:v>
      </x:c>
    </x:row>
    <x:row r="18">
      <x:c r="A18" s="109" t="str">
        <x:v>OPT02</x:v>
      </x:c>
      <x:c r="B18" s="109" t="str">
        <x:v>clinical</x:v>
      </x:c>
      <x:c r="C18" s="109" t="str">
        <x:v>Skin pigmentation during exercise</x:v>
      </x:c>
      <x:c r="D18" s="109" t="str">
        <x:v>Objectively measured pigmentation was evaluated against Apple Watch and other PPG devices during rest, exercise, and recovery</x:v>
      </x:c>
      <x:c r="E18" s="109" t="str">
        <x:v>peer-reviewed validation study</x:v>
      </x:c>
      <x:c r="F18" s="109" t="str">
        <x:v>https://pubmed.ncbi.nlm.nih.gov/40968160/</x:v>
      </x:c>
      <x:c r="G18" s="109" t="str">
        <x:v>2026</x:v>
      </x:c>
      <x:c r="H18" s="109" t="str">
        <x:v>2026-07-23</x:v>
      </x:c>
      <x:c r="I18" s="109" t="str">
        <x:v>high</x:v>
      </x:c>
      <x:c r="J18" s="109" t="str">
        <x:v>Supports objective pigmentation measurement rather than race labels</x:v>
      </x:c>
    </x:row>
    <x:row r="19">
      <x:c r="A19" s="109" t="str">
        <x:v>VAL01</x:v>
      </x:c>
      <x:c r="B19" s="109" t="str">
        <x:v>validation</x:v>
      </x:c>
      <x:c r="C19" s="109" t="str">
        <x:v>Apple Watch, Polar, and Fitbit</x:v>
      </x:c>
      <x:c r="D19" s="109" t="str">
        <x:v>Apple Watch 6 produced the most accurate HR among the three devices across tested activities</x:v>
      </x:c>
      <x:c r="E19" s="109" t="str">
        <x:v>peer-reviewed validation study</x:v>
      </x:c>
      <x:c r="F19" s="109" t="str">
        <x:v>https://pubmed.ncbi.nlm.nih.gov/34957939/</x:v>
      </x:c>
      <x:c r="G19" s="109" t="str">
        <x:v>2023</x:v>
      </x:c>
      <x:c r="H19" s="109" t="str">
        <x:v>2026-07-23</x:v>
      </x:c>
      <x:c r="I19" s="109" t="str">
        <x:v>high</x:v>
      </x:c>
      <x:c r="J19" s="109" t="str">
        <x:v>Older generations and exercise tasks; energy expenditure was poor</x:v>
      </x:c>
    </x:row>
    <x:row r="20">
      <x:c r="A20" s="109" t="str">
        <x:v>VAL02</x:v>
      </x:c>
      <x:c r="B20" s="109" t="str">
        <x:v>validation</x:v>
      </x:c>
      <x:c r="C20" s="109" t="str">
        <x:v>Transient-state wearable HR</x:v>
      </x:c>
      <x:c r="D20" s="109" t="str">
        <x:v>Fitbit, Garmin, WHOOP, Withings, and EmbracePlus HR accuracy declined during rapid transitions</x:v>
      </x:c>
      <x:c r="E20" s="109" t="str">
        <x:v>peer-reviewed validation study</x:v>
      </x:c>
      <x:c r="F20" s="109" t="str">
        <x:v>https://pubmed.ncbi.nlm.nih.gov/41157371/</x:v>
      </x:c>
      <x:c r="G20" s="109" t="str">
        <x:v>2025</x:v>
      </x:c>
      <x:c r="H20" s="109" t="str">
        <x:v>2026-07-23</x:v>
      </x:c>
      <x:c r="I20" s="109" t="str">
        <x:v>high</x:v>
      </x:c>
      <x:c r="J20" s="109" t="str">
        <x:v>Acute changes need context-specific validation</x:v>
      </x:c>
    </x:row>
    <x:row r="21">
      <x:c r="A21" s="109" t="str">
        <x:v>VAL03</x:v>
      </x:c>
      <x:c r="B21" s="109" t="str">
        <x:v>validation</x:v>
      </x:c>
      <x:c r="C21" s="109" t="str">
        <x:v>Empatica EmbracePlus SpO2</x:v>
      </x:c>
      <x:c r="D21" s="109" t="str">
        <x:v>Controlled hypoxia study reported ARMS 2.4% and included dark-pigmentation participants</x:v>
      </x:c>
      <x:c r="E21" s="109" t="str">
        <x:v>peer-reviewed prospective validation study</x:v>
      </x:c>
      <x:c r="F21" s="109" t="str">
        <x:v>https://pubmed.ncbi.nlm.nih.gov/38111608/</x:v>
      </x:c>
      <x:c r="G21" s="109" t="str">
        <x:v>2023</x:v>
      </x:c>
      <x:c r="H21" s="109" t="str">
        <x:v>2026-07-23</x:v>
      </x:c>
      <x:c r="I21" s="109" t="str">
        <x:v>high</x:v>
      </x:c>
      <x:c r="J21" s="109" t="str">
        <x:v>No-motion and high-perfusion conditions; manufacturer-authored</x:v>
      </x:c>
    </x:row>
    <x:row r="22">
      <x:c r="A22" s="109" t="str">
        <x:v>VAL04</x:v>
      </x:c>
      <x:c r="B22" s="109" t="str">
        <x:v>validation</x:v>
      </x:c>
      <x:c r="C22" s="109" t="str">
        <x:v>Empatica continuous pulse rate</x:v>
      </x:c>
      <x:c r="D22" s="109" t="str">
        <x:v>Multicenter evaluation reported clinical-grade continuous pulse-rate performance across motion and demographic subgroups</x:v>
      </x:c>
      <x:c r="E22" s="109" t="str">
        <x:v>peer-reviewed validation study</x:v>
      </x:c>
      <x:c r="F22" s="109" t="str">
        <x:v>https://pubmed.ncbi.nlm.nih.gov/39670276/</x:v>
      </x:c>
      <x:c r="G22" s="109" t="str">
        <x:v>2024</x:v>
      </x:c>
      <x:c r="H22" s="109" t="str">
        <x:v>2026-07-23</x:v>
      </x:c>
      <x:c r="I22" s="109" t="str">
        <x:v>high</x:v>
      </x:c>
      <x:c r="J22" s="109" t="str">
        <x:v>Manufacturer conflicts disclosed</x:v>
      </x:c>
    </x:row>
    <x:row r="23">
      <x:c r="A23" s="109" t="str">
        <x:v>VAL05</x:v>
      </x:c>
      <x:c r="B23" s="109" t="str">
        <x:v>validation</x:v>
      </x:c>
      <x:c r="C23" s="109" t="str">
        <x:v>Empatica and consumer PPG</x:v>
      </x:c>
      <x:c r="D23" s="109" t="str">
        <x:v>Research-grade EmbracePlus did not uniformly outperform consumer devices across laboratory conditions</x:v>
      </x:c>
      <x:c r="E23" s="109" t="str">
        <x:v>peer-reviewed comparative validation study</x:v>
      </x:c>
      <x:c r="F23" s="109" t="str">
        <x:v>https://pubmed.ncbi.nlm.nih.gov/39905563/</x:v>
      </x:c>
      <x:c r="G23" s="109" t="str">
        <x:v>2025</x:v>
      </x:c>
      <x:c r="H23" s="109" t="str">
        <x:v>2026-07-23</x:v>
      </x:c>
      <x:c r="I23" s="109" t="str">
        <x:v>high</x:v>
      </x:c>
      <x:c r="J23" s="109" t="str">
        <x:v>Device grade does not replace use-case validation</x:v>
      </x:c>
    </x:row>
    <x:row r="24">
      <x:c r="A24" s="109" t="str">
        <x:v>VAL06</x:v>
      </x:c>
      <x:c r="B24" s="109" t="str">
        <x:v>validation</x:v>
      </x:c>
      <x:c r="C24" s="109" t="str">
        <x:v>BioButton hospital monitoring</x:v>
      </x:c>
      <x:c r="D24" s="109" t="str">
        <x:v>BioButton supported high-frequency trend monitoring in 11977 patient encounters</x:v>
      </x:c>
      <x:c r="E24" s="109" t="str">
        <x:v>peer-reviewed retrospective observational study</x:v>
      </x:c>
      <x:c r="F24" s="109" t="str">
        <x:v>https://pubmed.ncbi.nlm.nih.gov/39200889/</x:v>
      </x:c>
      <x:c r="G24" s="109" t="str">
        <x:v>2024</x:v>
      </x:c>
      <x:c r="H24" s="109" t="str">
        <x:v>2026-07-23</x:v>
      </x:c>
      <x:c r="I24" s="109" t="str">
        <x:v>high</x:v>
      </x:c>
      <x:c r="J24" s="109" t="str">
        <x:v>HR and RR are rest measures; manufacturer conflicts disclosed</x:v>
      </x:c>
    </x:row>
    <x:row r="25">
      <x:c r="A25" s="109" t="str">
        <x:v>VAL07</x:v>
      </x:c>
      <x:c r="B25" s="109" t="str">
        <x:v>validation</x:v>
      </x:c>
      <x:c r="C25" s="109" t="str">
        <x:v>VitalPatch under motion and hypoxia</x:v>
      </x:c>
      <x:c r="D25" s="109" t="str">
        <x:v>VitalPatch HR met the prespecified error limit; RR errors exceeded the limit for some movements</x:v>
      </x:c>
      <x:c r="E25" s="109" t="str">
        <x:v>peer-reviewed controlled validation study</x:v>
      </x:c>
      <x:c r="F25" s="109" t="str">
        <x:v>https://pubmed.ncbi.nlm.nih.gov/34524087/</x:v>
      </x:c>
      <x:c r="G25" s="109" t="str">
        <x:v>2021</x:v>
      </x:c>
      <x:c r="H25" s="109" t="str">
        <x:v>2026-07-23</x:v>
      </x:c>
      <x:c r="I25" s="109" t="str">
        <x:v>high</x:v>
      </x:c>
      <x:c r="J25" s="109" t="str">
        <x:v>Healthy controlled protocol</x:v>
      </x:c>
    </x:row>
    <x:row r="26">
      <x:c r="A26" s="109" t="str">
        <x:v>VAL08</x:v>
      </x:c>
      <x:c r="B26" s="109" t="str">
        <x:v>validation</x:v>
      </x:c>
      <x:c r="C26" s="109" t="str">
        <x:v>VitalPatch sensor performance</x:v>
      </x:c>
      <x:c r="D26" s="109" t="str">
        <x:v>Bench and laboratory testing reported ECG, HR, breathing-rate, temperature, posture, step, and fall-detection performance</x:v>
      </x:c>
      <x:c r="E26" s="109" t="str">
        <x:v>peer-reviewed device validation study</x:v>
      </x:c>
      <x:c r="F26" s="109" t="str">
        <x:v>https://pubmed.ncbi.nlm.nih.gov/30440706/</x:v>
      </x:c>
      <x:c r="G26" s="109" t="str">
        <x:v>2018</x:v>
      </x:c>
      <x:c r="H26" s="109" t="str">
        <x:v>2026-07-23</x:v>
      </x:c>
      <x:c r="I26" s="109" t="str">
        <x:v>high</x:v>
      </x:c>
      <x:c r="J26" s="109" t="str">
        <x:v>Stationary and laboratory conditions</x:v>
      </x:c>
    </x:row>
    <x:row r="27">
      <x:c r="A27" s="109" t="str">
        <x:v>VAL09</x:v>
      </x:c>
      <x:c r="B27" s="109" t="str">
        <x:v>validation</x:v>
      </x:c>
      <x:c r="C27" s="109" t="str">
        <x:v>ActiGraph LEAP activity</x:v>
      </x:c>
      <x:c r="D27" s="109" t="str">
        <x:v>LEAP activity measurements showed acceptable-to-excellent agreement with GT9X Link over seven days</x:v>
      </x:c>
      <x:c r="E27" s="109" t="str">
        <x:v>peer-reviewed concurrent-validation study</x:v>
      </x:c>
      <x:c r="F27" s="109" t="str">
        <x:v>https://pubmed.ncbi.nlm.nih.gov/41716605/</x:v>
      </x:c>
      <x:c r="G27" s="109" t="str">
        <x:v>2026</x:v>
      </x:c>
      <x:c r="H27" s="109" t="str">
        <x:v>2026-07-23</x:v>
      </x:c>
      <x:c r="I27" s="109" t="str">
        <x:v>high</x:v>
      </x:c>
      <x:c r="J27" s="109" t="str">
        <x:v>Validates activity, not acute PPG or presyncope</x:v>
      </x:c>
    </x:row>
    <x:row r="28">
      <x:c r="A28" s="109" t="str">
        <x:v>VAL10</x:v>
      </x:c>
      <x:c r="B28" s="109" t="str">
        <x:v>validation</x:v>
      </x:c>
      <x:c r="C28" s="109" t="str">
        <x:v>Biostrap raw PPG</x:v>
      </x:c>
      <x:c r="D28" s="109" t="str">
        <x:v>Biostrap raw PPG was used for longitudinal peripheral vasoconstriction biomarkers</x:v>
      </x:c>
      <x:c r="E28" s="109" t="str">
        <x:v>peer-reviewed feasibility and validation study</x:v>
      </x:c>
      <x:c r="F28" s="109" t="str">
        <x:v>https://pubmed.ncbi.nlm.nih.gov/41494152/</x:v>
      </x:c>
      <x:c r="G28" s="109" t="str">
        <x:v>2025</x:v>
      </x:c>
      <x:c r="H28" s="109" t="str">
        <x:v>2026-07-23</x:v>
      </x:c>
      <x:c r="I28" s="109" t="str">
        <x:v>medium</x:v>
      </x:c>
      <x:c r="J28" s="109" t="str">
        <x:v>Small sickle-cell cohort; not VVS</x:v>
      </x:c>
    </x:row>
    <x:row r="29">
      <x:c r="A29" s="109" t="str">
        <x:v>VAL11</x:v>
      </x:c>
      <x:c r="B29" s="109" t="str">
        <x:v>validation</x:v>
      </x:c>
      <x:c r="C29" s="109" t="str">
        <x:v>Masimo W1 ECG</x:v>
      </x:c>
      <x:c r="D29" s="109" t="str">
        <x:v>Spot-check W1 ECG showed high AF and normal-rhythm classification performance against 12-lead ECG</x:v>
      </x:c>
      <x:c r="E29" s="109" t="str">
        <x:v>peer-reviewed prospective diagnostic study</x:v>
      </x:c>
      <x:c r="F29" s="109" t="str">
        <x:v>https://pubmed.ncbi.nlm.nih.gov/42038677/</x:v>
      </x:c>
      <x:c r="G29" s="109" t="str">
        <x:v>2026</x:v>
      </x:c>
      <x:c r="H29" s="109" t="str">
        <x:v>2026-07-23</x:v>
      </x:c>
      <x:c r="I29" s="109" t="str">
        <x:v>high</x:v>
      </x:c>
      <x:c r="J29" s="109" t="str">
        <x:v>Rhythm classification is not presyncope prediction</x:v>
      </x:c>
    </x:row>
    <x:row r="30">
      <x:c r="A30" s="109" t="str">
        <x:v>VAL12</x:v>
      </x:c>
      <x:c r="B30" s="109" t="str">
        <x:v>validation</x:v>
      </x:c>
      <x:c r="C30" s="109" t="str">
        <x:v>Short-term PPG HRV</x:v>
      </x:c>
      <x:c r="D30" s="109" t="str">
        <x:v>Selected wrist PPG HRV indices agreed with ECG under controlled rest but entropy and short-term metrics were weaker</x:v>
      </x:c>
      <x:c r="E30" s="109" t="str">
        <x:v>peer-reviewed validation study</x:v>
      </x:c>
      <x:c r="F30" s="109" t="str">
        <x:v>https://pubmed.ncbi.nlm.nih.gov/42151374/</x:v>
      </x:c>
      <x:c r="G30" s="109" t="str">
        <x:v>2026</x:v>
      </x:c>
      <x:c r="H30" s="109" t="str">
        <x:v>2026-07-23</x:v>
      </x:c>
      <x:c r="I30" s="109" t="str">
        <x:v>high</x:v>
      </x:c>
      <x:c r="J30" s="109" t="str">
        <x:v>Reinforces metric-specific validation</x:v>
      </x:c>
    </x:row>
    <x:row r="31">
      <x:c r="A31" s="109" t="str">
        <x:v>REG01</x:v>
      </x:c>
      <x:c r="B31" s="109" t="str">
        <x:v>regulatory</x:v>
      </x:c>
      <x:c r="C31" s="109" t="str">
        <x:v>Cuffless BP</x:v>
      </x:c>
      <x:c r="D31" s="109" t="str">
        <x:v>FDA draft recommends clinical performance testing for cuffless non-invasive BP devices</x:v>
      </x:c>
      <x:c r="E31" s="109" t="str">
        <x:v>FDA draft guidance</x:v>
      </x:c>
      <x:c r="F31" s="109" t="str">
        <x:v>https://www.fda.gov/regulatory-information/search-fda-guidance-documents/cuffless-non-invasive-blood-pressure-measuring-devices-clinical-performance-testing-and-evaluation</x:v>
      </x:c>
      <x:c r="G31" s="109" t="str">
        <x:v>2026-01</x:v>
      </x:c>
      <x:c r="H31" s="109" t="str">
        <x:v>2026-07-23</x:v>
      </x:c>
      <x:c r="I31" s="109" t="str">
        <x:v>high</x:v>
      </x:c>
      <x:c r="J31" s="109" t="str">
        <x:v>Draft and nonbinding; current regulatory thinking</x:v>
      </x:c>
    </x:row>
    <x:row r="32">
      <x:c r="A32" s="109" t="str">
        <x:v>REG02</x:v>
      </x:c>
      <x:c r="B32" s="109" t="str">
        <x:v>regulatory</x:v>
      </x:c>
      <x:c r="C32" s="109" t="str">
        <x:v>Continuous cuffless BP</x:v>
      </x:c>
      <x:c r="D32" s="109" t="str">
        <x:v>Fast BP changes require a simultaneous continuous reference with appropriate time resolution</x:v>
      </x:c>
      <x:c r="E32" s="109" t="str">
        <x:v>FDA recognized-standards note</x:v>
      </x:c>
      <x:c r="F32" s="109" t="str">
        <x:v>https://www.accessdata.fda.gov/scripts/cdrh/cfdocs/cfstandards/detail.cfm?standard__identification_no=42370</x:v>
      </x:c>
      <x:c r="G32" s="109" t="str">
        <x:v>current in 2026</x:v>
      </x:c>
      <x:c r="H32" s="109" t="str">
        <x:v>2026-07-23</x:v>
      </x:c>
      <x:c r="I32" s="109" t="str">
        <x:v>high</x:v>
      </x:c>
      <x:c r="J32" s="109" t="str">
        <x:v>FDA partially recognizes IEEE 1708-2014</x:v>
      </x:c>
    </x:row>
    <x:row r="33">
      <x:c r="A33" s="109" t="str">
        <x:v>REG03</x:v>
      </x:c>
      <x:c r="B33" s="109" t="str">
        <x:v>regulatory</x:v>
      </x:c>
      <x:c r="C33" s="109" t="str">
        <x:v>Pulse oximetry</x:v>
      </x:c>
      <x:c r="D33" s="109" t="str">
        <x:v>Skin pigmentation and low perfusion can affect pulse-oximeter accuracy</x:v>
      </x:c>
      <x:c r="E33" s="109" t="str">
        <x:v>FDA regulatory-science study</x:v>
      </x:c>
      <x:c r="F33" s="109" t="str">
        <x:v>https://www.fda.gov/science-research/advancing-regulatory-science/prospective-clinical-study-pulse-oximeter-errors-adult-hospitalized-patients-varying-skin</x:v>
      </x:c>
      <x:c r="G33" s="109" t="str">
        <x:v>current</x:v>
      </x:c>
      <x:c r="H33" s="109" t="str">
        <x:v>2026-07-23</x:v>
      </x:c>
      <x:c r="I33" s="109" t="str">
        <x:v>high</x:v>
      </x:c>
      <x:c r="J33" s="109" t="str">
        <x:v>Consumer wellness SpO2 is not automatically clinical grade</x:v>
      </x:c>
    </x:row>
    <x:row r="34">
      <x:c r="A34" s="109" t="str">
        <x:v>REG04</x:v>
      </x:c>
      <x:c r="B34" s="109" t="str">
        <x:v>regulatory</x:v>
      </x:c>
      <x:c r="C34" s="109" t="str">
        <x:v>Optical wearables</x:v>
      </x:c>
      <x:c r="D34" s="109" t="str">
        <x:v>Melanin can affect biomedical optical devices including PPG wearables</x:v>
      </x:c>
      <x:c r="E34" s="109" t="str">
        <x:v>FDA science forum</x:v>
      </x:c>
      <x:c r="F34" s="109" t="str">
        <x:v>https://www.fda.gov/science-research/fda-science-forum/impact-skin-pigmentation-performance-biomedical-optics-devices</x:v>
      </x:c>
      <x:c r="G34" s="109" t="str">
        <x:v>2023</x:v>
      </x:c>
      <x:c r="H34" s="109" t="str">
        <x:v>2026-07-23</x:v>
      </x:c>
      <x:c r="I34" s="109" t="str">
        <x:v>high</x:v>
      </x:c>
      <x:c r="J34" s="109" t="str">
        <x:v>Use objective pigmentation rather than race labels</x:v>
      </x:c>
    </x:row>
    <x:row r="35">
      <x:c r="A35" s="109" t="str">
        <x:v>APL01</x:v>
      </x:c>
      <x:c r="B35" s="109" t="str">
        <x:v>product</x:v>
      </x:c>
      <x:c r="C35" s="109" t="str">
        <x:v>Apple Watch Series 11</x:v>
      </x:c>
      <x:c r="D35" s="109" t="str">
        <x:v>Electrical and optical heart sensors, blood oxygen, temperature, accelerometer, and gyroscope</x:v>
      </x:c>
      <x:c r="E35" s="109" t="str">
        <x:v>official product specifications</x:v>
      </x:c>
      <x:c r="F35" s="109" t="str">
        <x:v>https://www.apple.com/apple-watch-series-11/specs/</x:v>
      </x:c>
      <x:c r="G35" s="109" t="str">
        <x:v>2025 model</x:v>
      </x:c>
      <x:c r="H35" s="109" t="str">
        <x:v>2026-07-23</x:v>
      </x:c>
      <x:c r="I35" s="109" t="str">
        <x:v>high</x:v>
      </x:c>
      <x:c r="J35" s="109" t="str">
        <x:v>Feature and region availability can vary</x:v>
      </x:c>
    </x:row>
    <x:row r="36">
      <x:c r="A36" s="109" t="str">
        <x:v>APL02</x:v>
      </x:c>
      <x:c r="B36" s="109" t="str">
        <x:v>data</x:v>
      </x:c>
      <x:c r="C36" s="109" t="str">
        <x:v>Apple Health</x:v>
      </x:c>
      <x:c r="D36" s="109" t="str">
        <x:v>HealthKit provides authorized health-data types and application access</x:v>
      </x:c>
      <x:c r="E36" s="109" t="str">
        <x:v>official developer documentation</x:v>
      </x:c>
      <x:c r="F36" s="109" t="str">
        <x:v>https://developer.apple.com/documentation/healthkit</x:v>
      </x:c>
      <x:c r="G36" s="109" t="str">
        <x:v>current</x:v>
      </x:c>
      <x:c r="H36" s="109" t="str">
        <x:v>2026-07-23</x:v>
      </x:c>
      <x:c r="I36" s="109" t="str">
        <x:v>high</x:v>
      </x:c>
      <x:c r="J36" s="109" t="str">
        <x:v>Does not imply raw PPG access</x:v>
      </x:c>
    </x:row>
    <x:row r="37">
      <x:c r="A37" s="109" t="str">
        <x:v>APL04</x:v>
      </x:c>
      <x:c r="B37" s="109" t="str">
        <x:v>data</x:v>
      </x:c>
      <x:c r="C37" s="109" t="str">
        <x:v>Apple Health</x:v>
      </x:c>
      <x:c r="D37" s="109" t="str">
        <x:v>Users can export health and fitness data in XML</x:v>
      </x:c>
      <x:c r="E37" s="109" t="str">
        <x:v>official support</x:v>
      </x:c>
      <x:c r="F37" s="109" t="str">
        <x:v>https://support.apple.com/guide/iphone/share-your-health-data-iph5ede58c3d/26/ios/26</x:v>
      </x:c>
      <x:c r="G37" s="109" t="str">
        <x:v>iOS 26</x:v>
      </x:c>
      <x:c r="H37" s="109" t="str">
        <x:v>2026-07-23</x:v>
      </x:c>
      <x:c r="I37" s="109" t="str">
        <x:v>high</x:v>
      </x:c>
      <x:c r="J37" s="109" t="str">
        <x:v>Manual historical export</x:v>
      </x:c>
    </x:row>
    <x:row r="38">
      <x:c r="A38" s="109" t="str">
        <x:v>APL05</x:v>
      </x:c>
      <x:c r="B38" s="109" t="str">
        <x:v>product</x:v>
      </x:c>
      <x:c r="C38" s="109" t="str">
        <x:v>Apple hypertension notifications</x:v>
      </x:c>
      <x:c r="D38" s="109" t="str">
        <x:v>Feature analyzes optical-heart patterns over approximately 30 days and is not a BP measurement</x:v>
      </x:c>
      <x:c r="E38" s="109" t="str">
        <x:v>official support</x:v>
      </x:c>
      <x:c r="F38" s="109" t="str">
        <x:v>https://support.apple.com/en-ie/117296</x:v>
      </x:c>
      <x:c r="G38" s="109" t="str">
        <x:v>current</x:v>
      </x:c>
      <x:c r="H38" s="109" t="str">
        <x:v>2026-07-23</x:v>
      </x:c>
      <x:c r="I38" s="109" t="str">
        <x:v>high</x:v>
      </x:c>
      <x:c r="J38" s="109" t="str">
        <x:v>Not an acute BP stream</x:v>
      </x:c>
    </x:row>
    <x:row r="39">
      <x:c r="A39" s="109" t="str">
        <x:v>ACT01</x:v>
      </x:c>
      <x:c r="B39" s="109" t="str">
        <x:v>product</x:v>
      </x:c>
      <x:c r="C39" s="109" t="str">
        <x:v>ActiGraph LEAP</x:v>
      </x:c>
      <x:c r="D39" s="109" t="str">
        <x:v>Multiwavelength PPG, accelerometer, gyroscope, skin temperature, barometer, long storage, and listed vital-sign measures</x:v>
      </x:c>
      <x:c r="E39" s="109" t="str">
        <x:v>official product page</x:v>
      </x:c>
      <x:c r="F39" s="109" t="str">
        <x:v>https://theactigraph.com/actigraph-leap</x:v>
      </x:c>
      <x:c r="G39" s="109" t="str">
        <x:v>current</x:v>
      </x:c>
      <x:c r="H39" s="109" t="str">
        <x:v>2026-07-23</x:v>
      </x:c>
      <x:c r="I39" s="109" t="str">
        <x:v>high</x:v>
      </x:c>
      <x:c r="J39" s="109" t="str">
        <x:v>Some measures require scientific services; upper-arm BP is not a wrist signal</x:v>
      </x:c>
    </x:row>
    <x:row r="40">
      <x:c r="A40" s="109" t="str">
        <x:v>ACT02</x:v>
      </x:c>
      <x:c r="B40" s="109" t="str">
        <x:v>data</x:v>
      </x:c>
      <x:c r="C40" s="109" t="str">
        <x:v>ActiGraph LEAP</x:v>
      </x:c>
      <x:c r="D40" s="109" t="str">
        <x:v>Raw data are available through CentrePoint and the Data Access API after transfer</x:v>
      </x:c>
      <x:c r="E40" s="109" t="str">
        <x:v>official FAQ</x:v>
      </x:c>
      <x:c r="F40" s="109" t="str">
        <x:v>https://blog.theactigraph.com/blog/leap-faq</x:v>
      </x:c>
      <x:c r="G40" s="109" t="str">
        <x:v>current</x:v>
      </x:c>
      <x:c r="H40" s="109" t="str">
        <x:v>2026-07-23</x:v>
      </x:c>
      <x:c r="I40" s="109" t="str">
        <x:v>high</x:v>
      </x:c>
      <x:c r="J40" s="109" t="str">
        <x:v>Public material does not establish subsecond live latency</x:v>
      </x:c>
    </x:row>
    <x:row r="41">
      <x:c r="A41" s="109" t="str">
        <x:v>BIO01</x:v>
      </x:c>
      <x:c r="B41" s="109" t="str">
        <x:v>product</x:v>
      </x:c>
      <x:c r="C41" s="109" t="str">
        <x:v>Biostrap Kairos</x:v>
      </x:c>
      <x:c r="D41" s="109" t="str">
        <x:v>Kairos provides HR, HRV, IBI, respiration, activity, and a research-oriented optical sensor</x:v>
      </x:c>
      <x:c r="E41" s="109" t="str">
        <x:v>official product page</x:v>
      </x:c>
      <x:c r="F41" s="109" t="str">
        <x:v>https://biostrap.com/</x:v>
      </x:c>
      <x:c r="G41" s="109" t="str">
        <x:v>current</x:v>
      </x:c>
      <x:c r="H41" s="109" t="str">
        <x:v>2026-07-23</x:v>
      </x:c>
      <x:c r="I41" s="109" t="str">
        <x:v>high</x:v>
      </x:c>
      <x:c r="J41" s="109" t="str">
        <x:v>Current page does not list EDA, ECG, BP, or skin temperature</x:v>
      </x:c>
    </x:row>
    <x:row r="42">
      <x:c r="A42" s="109" t="str">
        <x:v>BIO02</x:v>
      </x:c>
      <x:c r="B42" s="109" t="str">
        <x:v>data</x:v>
      </x:c>
      <x:c r="C42" s="109" t="str">
        <x:v>Biostrap research platform</x:v>
      </x:c>
      <x:c r="D42" s="109" t="str">
        <x:v>Researchers can access raw and processed PPG, gyroscope, and accelerometer data</x:v>
      </x:c>
      <x:c r="E42" s="109" t="str">
        <x:v>official science page</x:v>
      </x:c>
      <x:c r="F42" s="109" t="str">
        <x:v>https://biostrap.com/science/</x:v>
      </x:c>
      <x:c r="G42" s="109" t="str">
        <x:v>current</x:v>
      </x:c>
      <x:c r="H42" s="109" t="str">
        <x:v>2026-07-23</x:v>
      </x:c>
      <x:c r="I42" s="109" t="str">
        <x:v>high</x:v>
      </x:c>
      <x:c r="J42" s="109" t="str">
        <x:v>Sampling configuration and latency require contract confirmation</x:v>
      </x:c>
    </x:row>
    <x:row r="43">
      <x:c r="A43" s="109" t="str">
        <x:v>BIO03</x:v>
      </x:c>
      <x:c r="B43" s="109" t="str">
        <x:v>data</x:v>
      </x:c>
      <x:c r="C43" s="109" t="str">
        <x:v>Biostrap RPM</x:v>
      </x:c>
      <x:c r="D43" s="109" t="str">
        <x:v>Live dashboard, research mode, SDK, API, and raw or processed data pathways are offered</x:v>
      </x:c>
      <x:c r="E43" s="109" t="str">
        <x:v>official platform page</x:v>
      </x:c>
      <x:c r="F43" s="109" t="str">
        <x:v>https://biostrap.com/rpm/</x:v>
      </x:c>
      <x:c r="G43" s="109" t="str">
        <x:v>current</x:v>
      </x:c>
      <x:c r="H43" s="109" t="str">
        <x:v>2026-07-23</x:v>
      </x:c>
      <x:c r="I43" s="109" t="str">
        <x:v>high</x:v>
      </x:c>
      <x:c r="J43" s="109" t="str">
        <x:v>Commercial terms and exact live semantics require diligence</x:v>
      </x:c>
    </x:row>
    <x:row r="44">
      <x:c r="A44" s="109" t="str">
        <x:v>VIT01</x:v>
      </x:c>
      <x:c r="B44" s="109" t="str">
        <x:v>product</x:v>
      </x:c>
      <x:c r="C44" s="109" t="str">
        <x:v>VitalPatch RTM</x:v>
      </x:c>
      <x:c r="D44" s="109" t="str">
        <x:v>Continuous ECG, HR, HRV, R-R, respiration, skin/body temperature, activity, posture, and fall data</x:v>
      </x:c>
      <x:c r="E44" s="109" t="str">
        <x:v>official instructions for use</x:v>
      </x:c>
      <x:c r="F44" s="109" t="str">
        <x:v>https://vitalconnect.com/docs/ifu006/RevAC/IFU-06_RevAC_VitalPatch_InstructionsforUse%28final%29.pdf</x:v>
      </x:c>
      <x:c r="G44" s="109" t="str">
        <x:v>2025-10</x:v>
      </x:c>
      <x:c r="H44" s="109" t="str">
        <x:v>2026-07-23</x:v>
      </x:c>
      <x:c r="I44" s="109" t="str">
        <x:v>high</x:v>
      </x:c>
      <x:c r="J44" s="109" t="str">
        <x:v>General-care adjunct monitor; not a standalone diagnostic or critical-care device</x:v>
      </x:c>
    </x:row>
    <x:row r="45">
      <x:c r="A45" s="109" t="str">
        <x:v>VIT02</x:v>
      </x:c>
      <x:c r="B45" s="109" t="str">
        <x:v>data</x:v>
      </x:c>
      <x:c r="C45" s="109" t="str">
        <x:v>VitalConnect platform</x:v>
      </x:c>
      <x:c r="D45" s="109" t="str">
        <x:v>VitalPatch data can flow through Relay Software Library APIs and VistaCenter supports live and historical ECG and CSV</x:v>
      </x:c>
      <x:c r="E45" s="109" t="str">
        <x:v>official platform instructions</x:v>
      </x:c>
      <x:c r="F45" s="109" t="str">
        <x:v>https://vitalconnect.com/docs/ifu027/RevY/IFU-27_RevY_VistaCenter_3.5.3%28final%29.pdf</x:v>
      </x:c>
      <x:c r="G45" s="109" t="str">
        <x:v>2026-01</x:v>
      </x:c>
      <x:c r="H45" s="109" t="str">
        <x:v>2026-07-23</x:v>
      </x:c>
      <x:c r="I45" s="109" t="str">
        <x:v>high</x:v>
      </x:c>
      <x:c r="J45" s="109" t="str">
        <x:v>Exact contracted channels vary</x:v>
      </x:c>
    </x:row>
    <x:row r="46">
      <x:c r="A46" s="109" t="str">
        <x:v>GOO01</x:v>
      </x:c>
      <x:c r="B46" s="109" t="str">
        <x:v>product</x:v>
      </x:c>
      <x:c r="C46" s="109" t="str">
        <x:v>Google Pixel Watch 4</x:v>
      </x:c>
      <x:c r="D46" s="109" t="str">
        <x:v>ECG electrodes, optical HR, accelerometer, gyroscope, cEDA, and temperature sensors</x:v>
      </x:c>
      <x:c r="E46" s="109" t="str">
        <x:v>official support</x:v>
      </x:c>
      <x:c r="F46" s="109" t="str">
        <x:v>https://support.google.com/googlepixelwatch/answer/12651869?hl=en-154</x:v>
      </x:c>
      <x:c r="G46" s="109" t="str">
        <x:v>current model</x:v>
      </x:c>
      <x:c r="H46" s="109" t="str">
        <x:v>2026-07-23</x:v>
      </x:c>
      <x:c r="I46" s="109" t="str">
        <x:v>high</x:v>
      </x:c>
      <x:c r="J46" s="109" t="str">
        <x:v>Hardware does not imply raw API access</x:v>
      </x:c>
    </x:row>
    <x:row r="47">
      <x:c r="A47" s="109" t="str">
        <x:v>GOO03</x:v>
      </x:c>
      <x:c r="B47" s="109" t="str">
        <x:v>data</x:v>
      </x:c>
      <x:c r="C47" s="109" t="str">
        <x:v>Wear OS Health Services</x:v>
      </x:c>
      <x:c r="D47" s="109" t="str">
        <x:v>Exercise HR is approximately one sample per second and passive monitoring may be batched</x:v>
      </x:c>
      <x:c r="E47" s="109" t="str">
        <x:v>official developer documentation</x:v>
      </x:c>
      <x:c r="F47" s="109" t="str">
        <x:v>https://developer.android.com/health-and-fitness/health-services/compatibility?authuser=09</x:v>
      </x:c>
      <x:c r="G47" s="109" t="str">
        <x:v>updated 2026</x:v>
      </x:c>
      <x:c r="H47" s="109" t="str">
        <x:v>2026-07-23</x:v>
      </x:c>
      <x:c r="I47" s="109" t="str">
        <x:v>high</x:v>
      </x:c>
      <x:c r="J47" s="109" t="str">
        <x:v>Processed HR rather than raw PPG</x:v>
      </x:c>
    </x:row>
    <x:row r="48">
      <x:c r="A48" s="109" t="str">
        <x:v>GOO04</x:v>
      </x:c>
      <x:c r="B48" s="109" t="str">
        <x:v>data</x:v>
      </x:c>
      <x:c r="C48" s="109" t="str">
        <x:v>Fitbit Web API</x:v>
      </x:c>
      <x:c r="D48" s="109" t="str">
        <x:v>Intraday HR supports one-second or one-minute detail with access restrictions</x:v>
      </x:c>
      <x:c r="E48" s="109" t="str">
        <x:v>official developer documentation</x:v>
      </x:c>
      <x:c r="F48" s="109" t="str">
        <x:v>https://dev.fitbit.com/build/reference/web-api/intraday/get-heartrate-intraday-by-date-range/</x:v>
      </x:c>
      <x:c r="G48" s="109" t="str">
        <x:v>current</x:v>
      </x:c>
      <x:c r="H48" s="109" t="str">
        <x:v>2026-07-23</x:v>
      </x:c>
      <x:c r="I48" s="109" t="str">
        <x:v>high</x:v>
      </x:c>
      <x:c r="J48" s="109" t="str">
        <x:v>Third-party access to other users requires approval</x:v>
      </x:c>
    </x:row>
    <x:row r="49">
      <x:c r="A49" s="109" t="str">
        <x:v>FIT01</x:v>
      </x:c>
      <x:c r="B49" s="109" t="str">
        <x:v>product</x:v>
      </x:c>
      <x:c r="C49" s="109" t="str">
        <x:v>Fitbit Sense 2</x:v>
      </x:c>
      <x:c r="D49" s="109" t="str">
        <x:v>Continuous EDA, ECG, HR, skin-temperature, and SpO2 features</x:v>
      </x:c>
      <x:c r="E49" s="109" t="str">
        <x:v>official product page</x:v>
      </x:c>
      <x:c r="F49" s="109" t="str">
        <x:v>https://store.google.com/product/fitbit_sense_2?hl=en-US</x:v>
      </x:c>
      <x:c r="G49" s="109" t="str">
        <x:v>current</x:v>
      </x:c>
      <x:c r="H49" s="109" t="str">
        <x:v>2026-07-23</x:v>
      </x:c>
      <x:c r="I49" s="109" t="str">
        <x:v>high</x:v>
      </x:c>
      <x:c r="J49" s="109" t="str">
        <x:v>Several metrics are spot or sleep based</x:v>
      </x:c>
    </x:row>
    <x:row r="50">
      <x:c r="A50" s="109" t="str">
        <x:v>FIT03</x:v>
      </x:c>
      <x:c r="B50" s="109" t="str">
        <x:v>data</x:v>
      </x:c>
      <x:c r="C50" s="109" t="str">
        <x:v>Fitbit</x:v>
      </x:c>
      <x:c r="D50" s="109" t="str">
        <x:v>Account archive and recent-data export include HR and activity</x:v>
      </x:c>
      <x:c r="E50" s="109" t="str">
        <x:v>official support</x:v>
      </x:c>
      <x:c r="F50" s="109" t="str">
        <x:v>https://support.google.com/googlehealth/answer/14236615?hl=en</x:v>
      </x:c>
      <x:c r="G50" s="109" t="str">
        <x:v>current</x:v>
      </x:c>
      <x:c r="H50" s="109" t="str">
        <x:v>2026-07-23</x:v>
      </x:c>
      <x:c r="I50" s="109" t="str">
        <x:v>high</x:v>
      </x:c>
      <x:c r="J50" s="109" t="str">
        <x:v>Historical manual export</x:v>
      </x:c>
    </x:row>
    <x:row r="51">
      <x:c r="A51" s="109" t="str">
        <x:v>FIT04</x:v>
      </x:c>
      <x:c r="B51" s="109" t="str">
        <x:v>data</x:v>
      </x:c>
      <x:c r="C51" s="109" t="str">
        <x:v>Fitbit Web API</x:v>
      </x:c>
      <x:c r="D51" s="109" t="str">
        <x:v>Processed health endpoints include intraday HR and ECG-related records</x:v>
      </x:c>
      <x:c r="E51" s="109" t="str">
        <x:v>official developer documentation</x:v>
      </x:c>
      <x:c r="F51" s="109" t="str">
        <x:v>https://dev.fitbit.com/build/reference/web-api/explore/</x:v>
      </x:c>
      <x:c r="G51" s="109" t="str">
        <x:v>current</x:v>
      </x:c>
      <x:c r="H51" s="109" t="str">
        <x:v>2026-07-23</x:v>
      </x:c>
      <x:c r="I51" s="109" t="str">
        <x:v>high</x:v>
      </x:c>
      <x:c r="J51" s="109" t="str">
        <x:v>Access scopes and review apply</x:v>
      </x:c>
    </x:row>
    <x:row r="52">
      <x:c r="A52" s="109" t="str">
        <x:v>GAR01</x:v>
      </x:c>
      <x:c r="B52" s="109" t="str">
        <x:v>product</x:v>
      </x:c>
      <x:c r="C52" s="109" t="str">
        <x:v>Garmin Venu 4</x:v>
      </x:c>
      <x:c r="D52" s="109" t="str">
        <x:v>HR, HRV, respiration, temperature, Pulse Ox, and ECG features</x:v>
      </x:c>
      <x:c r="E52" s="109" t="str">
        <x:v>official newsroom</x:v>
      </x:c>
      <x:c r="F52" s="109" t="str">
        <x:v>https://www.garmin.com/en-US/newsroom/press-release/sports-fitness/take-steps-towards-a-healthier-lifestyle-with-the-venu-4-from-garmin/</x:v>
      </x:c>
      <x:c r="G52" s="109" t="str">
        <x:v>2025 model</x:v>
      </x:c>
      <x:c r="H52" s="109" t="str">
        <x:v>2026-07-23</x:v>
      </x:c>
      <x:c r="I52" s="109" t="str">
        <x:v>high</x:v>
      </x:c>
      <x:c r="J52" s="109" t="str">
        <x:v>ECG and Pulse Ox availability vary</x:v>
      </x:c>
    </x:row>
    <x:row r="53">
      <x:c r="A53" s="109" t="str">
        <x:v>GAR03</x:v>
      </x:c>
      <x:c r="B53" s="109" t="str">
        <x:v>data</x:v>
      </x:c>
      <x:c r="C53" s="109" t="str">
        <x:v>Garmin Health SDK</x:v>
      </x:c>
      <x:c r="D53" s="109" t="str">
        <x:v>Real-time HR, beat-to-beat, accelerometer, Pulse Ox, respiration, and other processed streams</x:v>
      </x:c>
      <x:c r="E53" s="109" t="str">
        <x:v>official developer documentation</x:v>
      </x:c>
      <x:c r="F53" s="109" t="str">
        <x:v>https://developer.garmin.com/health-sdk/</x:v>
      </x:c>
      <x:c r="G53" s="109" t="str">
        <x:v>current</x:v>
      </x:c>
      <x:c r="H53" s="109" t="str">
        <x:v>2026-07-23</x:v>
      </x:c>
      <x:c r="I53" s="109" t="str">
        <x:v>high</x:v>
      </x:c>
      <x:c r="J53" s="109" t="str">
        <x:v>Enterprise partner and license conditions</x:v>
      </x:c>
    </x:row>
    <x:row r="54">
      <x:c r="A54" s="109" t="str">
        <x:v>GAR04</x:v>
      </x:c>
      <x:c r="B54" s="109" t="str">
        <x:v>data</x:v>
      </x:c>
      <x:c r="C54" s="109" t="str">
        <x:v>Garmin Health API</x:v>
      </x:c>
      <x:c r="D54" s="109" t="str">
        <x:v>Cloud JSON access to heart, stress, Pulse Ox, respiration, and beat-to-beat summaries</x:v>
      </x:c>
      <x:c r="E54" s="109" t="str">
        <x:v>official developer documentation</x:v>
      </x:c>
      <x:c r="F54" s="109" t="str">
        <x:v>https://developer.garmin.com/gc-developer-program/health-api/</x:v>
      </x:c>
      <x:c r="G54" s="109" t="str">
        <x:v>current</x:v>
      </x:c>
      <x:c r="H54" s="109" t="str">
        <x:v>2026-07-23</x:v>
      </x:c>
      <x:c r="I54" s="109" t="str">
        <x:v>high</x:v>
      </x:c>
      <x:c r="J54" s="109" t="str">
        <x:v>Post-sync API and approval requirements</x:v>
      </x:c>
    </x:row>
    <x:row r="55">
      <x:c r="A55" s="109" t="str">
        <x:v>WHO01</x:v>
      </x:c>
      <x:c r="B55" s="109" t="str">
        <x:v>product</x:v>
      </x:c>
      <x:c r="C55" s="109" t="str">
        <x:v>WHOOP MG</x:v>
      </x:c>
      <x:c r="D55" s="109" t="str">
        <x:v>24/7 HR and nightly HRV, RR, temperature, SpO2 plus on-demand ECG and BP insights</x:v>
      </x:c>
      <x:c r="E55" s="109" t="str">
        <x:v>official support</x:v>
      </x:c>
      <x:c r="F55" s="109" t="str">
        <x:v>https://support.whoop.com/s/article/Membership-Features-Benefits?language=en_US</x:v>
      </x:c>
      <x:c r="G55" s="109" t="str">
        <x:v>current</x:v>
      </x:c>
      <x:c r="H55" s="109" t="str">
        <x:v>2026-07-23</x:v>
      </x:c>
      <x:c r="I55" s="109" t="str">
        <x:v>high</x:v>
      </x:c>
      <x:c r="J55" s="109" t="str">
        <x:v>BP is a daily resting cuff-calibrated estimate</x:v>
      </x:c>
    </x:row>
    <x:row r="56">
      <x:c r="A56" s="109" t="str">
        <x:v>WHO03</x:v>
      </x:c>
      <x:c r="B56" s="109" t="str">
        <x:v>data</x:v>
      </x:c>
      <x:c r="C56" s="109" t="str">
        <x:v>WHOOP</x:v>
      </x:c>
      <x:c r="D56" s="109" t="str">
        <x:v>CSV account export includes member records</x:v>
      </x:c>
      <x:c r="E56" s="109" t="str">
        <x:v>official support</x:v>
      </x:c>
      <x:c r="F56" s="109" t="str">
        <x:v>https://support.whoop.com/s/article/How-to-Export-Your-Data</x:v>
      </x:c>
      <x:c r="G56" s="109" t="str">
        <x:v>current</x:v>
      </x:c>
      <x:c r="H56" s="109" t="str">
        <x:v>2026-07-23</x:v>
      </x:c>
      <x:c r="I56" s="109" t="str">
        <x:v>high</x:v>
      </x:c>
      <x:c r="J56" s="109" t="str">
        <x:v>Not raw continuous optical data</x:v>
      </x:c>
    </x:row>
    <x:row r="57">
      <x:c r="A57" s="109" t="str">
        <x:v>WHO04</x:v>
      </x:c>
      <x:c r="B57" s="109" t="str">
        <x:v>data</x:v>
      </x:c>
      <x:c r="C57" s="109" t="str">
        <x:v>WHOOP API</x:v>
      </x:c>
      <x:c r="D57" s="109" t="str">
        <x:v>Recovery, cycle, workout, and sleep API resources are available</x:v>
      </x:c>
      <x:c r="E57" s="109" t="str">
        <x:v>official developer documentation</x:v>
      </x:c>
      <x:c r="F57" s="109" t="str">
        <x:v>https://developer.whoop.com/api/</x:v>
      </x:c>
      <x:c r="G57" s="109" t="str">
        <x:v>current</x:v>
      </x:c>
      <x:c r="H57" s="109" t="str">
        <x:v>2026-07-23</x:v>
      </x:c>
      <x:c r="I57" s="109" t="str">
        <x:v>high</x:v>
      </x:c>
      <x:c r="J57" s="109" t="str">
        <x:v>Primarily aggregate and post-sync</x:v>
      </x:c>
    </x:row>
    <x:row r="58">
      <x:c r="A58" s="109" t="str">
        <x:v>BBT01</x:v>
      </x:c>
      <x:c r="B58" s="109" t="str">
        <x:v>product</x:v>
      </x:c>
      <x:c r="C58" s="109" t="str">
        <x:v>BioButton Rechargeable</x:v>
      </x:c>
      <x:c r="D58" s="109" t="str">
        <x:v>Collects resting HR, resting RR, skin temperature, and activity</x:v>
      </x:c>
      <x:c r="E58" s="109" t="str">
        <x:v>official solution page</x:v>
      </x:c>
      <x:c r="F58" s="109" t="str">
        <x:v>https://www.biointellisense.com/solutions/at-home-patient-monitoring/</x:v>
      </x:c>
      <x:c r="G58" s="109" t="str">
        <x:v>current</x:v>
      </x:c>
      <x:c r="H58" s="109" t="str">
        <x:v>2026-07-23</x:v>
      </x:c>
      <x:c r="I58" s="109" t="str">
        <x:v>high</x:v>
      </x:c>
      <x:c r="J58" s="109" t="str">
        <x:v>Not an acute raw waveform device</x:v>
      </x:c>
    </x:row>
    <x:row r="59">
      <x:c r="A59" s="109" t="str">
        <x:v>BBT02</x:v>
      </x:c>
      <x:c r="B59" s="109" t="str">
        <x:v>regulatory</x:v>
      </x:c>
      <x:c r="C59" s="109" t="str">
        <x:v>BioButton Rechargeable</x:v>
      </x:c>
      <x:c r="D59" s="109" t="str">
        <x:v>IFU states HR and RR are not output during motion or activity</x:v>
      </x:c>
      <x:c r="E59" s="109" t="str">
        <x:v>official instructions for use</x:v>
      </x:c>
      <x:c r="F59" s="109" t="str">
        <x:v>https://www.biointellisense.com/wp-content/uploads/2026/05/IFU-BBR-2022-Ver.6.pdf</x:v>
      </x:c>
      <x:c r="G59" s="109" t="str">
        <x:v>2026-05</x:v>
      </x:c>
      <x:c r="H59" s="109" t="str">
        <x:v>2026-07-23</x:v>
      </x:c>
      <x:c r="I59" s="109" t="str">
        <x:v>high</x:v>
      </x:c>
      <x:c r="J59" s="109" t="str">
        <x:v>Important exclusion for acute workflow use</x:v>
      </x:c>
    </x:row>
    <x:row r="60">
      <x:c r="A60" s="109" t="str">
        <x:v>MAS01</x:v>
      </x:c>
      <x:c r="B60" s="109" t="str">
        <x:v>product</x:v>
      </x:c>
      <x:c r="C60" s="109" t="str">
        <x:v>Masimo W1 Medical</x:v>
      </x:c>
      <x:c r="D60" s="109" t="str">
        <x:v>Continuous real-time SpO2, pulse rate, perfusion index, HR, steps, and approximately 24-hour operation</x:v>
      </x:c>
      <x:c r="E60" s="109" t="str">
        <x:v>official product page</x:v>
      </x:c>
      <x:c r="F60" s="109" t="str">
        <x:v>https://professional.masimo.com/products/monitors/masimo-w1-medical-watch/</x:v>
      </x:c>
      <x:c r="G60" s="109" t="str">
        <x:v>current</x:v>
      </x:c>
      <x:c r="H60" s="109" t="str">
        <x:v>2026-07-23</x:v>
      </x:c>
      <x:c r="I60" s="109" t="str">
        <x:v>high</x:v>
      </x:c>
      <x:c r="J60" s="109" t="str">
        <x:v>No public raw PPG research interface</x:v>
      </x:c>
    </x:row>
    <x:row r="61">
      <x:c r="A61" s="109" t="str">
        <x:v>ZIO01</x:v>
      </x:c>
      <x:c r="B61" s="109" t="str">
        <x:v>product</x:v>
      </x:c>
      <x:c r="C61" s="109" t="str">
        <x:v>iRhythm Zio AT</x:v>
      </x:c>
      <x:c r="D61" s="109" t="str">
        <x:v>Continuous long-term ECG recording with symptomatic and asymptomatic event transmissions</x:v>
      </x:c>
      <x:c r="E61" s="109" t="str">
        <x:v>official clinical reference manual</x:v>
      </x:c>
      <x:c r="F61" s="109" t="str">
        <x:v>https://www.irhythmtech.com/content/dam/irhythm/united-states/ifus/2026/february/ALB0031.16%20ZIO%20AT%20CLINICAL%20REFERENCE%20MANUAL%20LTE.pdf</x:v>
      </x:c>
      <x:c r="G61" s="109" t="str">
        <x:v>2026-02</x:v>
      </x:c>
      <x:c r="H61" s="109" t="str">
        <x:v>2026-07-23</x:v>
      </x:c>
      <x:c r="I61" s="109" t="str">
        <x:v>high</x:v>
      </x:c>
      <x:c r="J61" s="109" t="str">
        <x:v>Clinical service rather than open raw research stream</x:v>
      </x:c>
    </x:row>
    <x:row r="62">
      <x:c r="A62" s="109" t="str">
        <x:v>ZIO02</x:v>
      </x:c>
      <x:c r="B62" s="109" t="str">
        <x:v>product</x:v>
      </x:c>
      <x:c r="C62" s="109" t="str">
        <x:v>iRhythm Zio AT</x:v>
      </x:c>
      <x:c r="D62" s="109" t="str">
        <x:v>Wireless gateway sends ECG data for processing and clinical reporting</x:v>
      </x:c>
      <x:c r="E62" s="109" t="str">
        <x:v>official product page</x:v>
      </x:c>
      <x:c r="F62" s="109" t="str">
        <x:v>https://www.irhythmtech.com/products-services/zio-at</x:v>
      </x:c>
      <x:c r="G62" s="109" t="str">
        <x:v>current</x:v>
      </x:c>
      <x:c r="H62" s="109" t="str">
        <x:v>2026-07-23</x:v>
      </x:c>
      <x:c r="I62" s="109" t="str">
        <x:v>high</x:v>
      </x:c>
      <x:c r="J62" s="109" t="str">
        <x:v>Not intended for critical-care monitoring</x:v>
      </x:c>
    </x:row>
    <x:row r="63">
      <x:c r="A63" s="109" t="str">
        <x:v>SAM02</x:v>
      </x:c>
      <x:c r="B63" s="109" t="str">
        <x:v>data</x:v>
      </x:c>
      <x:c r="C63" s="109" t="str">
        <x:v>Samsung Health Sensor SDK</x:v>
      </x:c>
      <x:c r="D63" s="109" t="str">
        <x:v>Continuous and on-demand sensor modes include Watch8 EDA</x:v>
      </x:c>
      <x:c r="E63" s="109" t="str">
        <x:v>official developer documentation</x:v>
      </x:c>
      <x:c r="F63" s="109" t="str">
        <x:v>https://developer.samsung.com/health/sensor/guide/introduction.html</x:v>
      </x:c>
      <x:c r="G63" s="109" t="str">
        <x:v>current</x:v>
      </x:c>
      <x:c r="H63" s="109" t="str">
        <x:v>2026-07-23</x:v>
      </x:c>
      <x:c r="I63" s="109" t="str">
        <x:v>high</x:v>
      </x:c>
      <x:c r="J63" s="109" t="str">
        <x:v>Distribution partner restrictions apply</x:v>
      </x:c>
    </x:row>
    <x:row r="64">
      <x:c r="A64" s="109" t="str">
        <x:v>SAM03</x:v>
      </x:c>
      <x:c r="B64" s="109" t="str">
        <x:v>data</x:v>
      </x:c>
      <x:c r="C64" s="109" t="str">
        <x:v>Samsung Health Sensor SDK</x:v>
      </x:c>
      <x:c r="D64" s="109" t="str">
        <x:v>ACC 25 Hz, EDA 1 Hz, HR and IBI 1 Hz, raw PPG 25 Hz; ECG and SpO2 on demand</x:v>
      </x:c>
      <x:c r="E64" s="109" t="str">
        <x:v>official developer documentation</x:v>
      </x:c>
      <x:c r="F64" s="109" t="str">
        <x:v>https://developer.samsung.com/health/sensor/guide/data-specifications.html</x:v>
      </x:c>
      <x:c r="G64" s="109" t="str">
        <x:v>current</x:v>
      </x:c>
      <x:c r="H64" s="109" t="str">
        <x:v>2026-07-23</x:v>
      </x:c>
      <x:c r="I64" s="109" t="str">
        <x:v>high</x:v>
      </x:c>
      <x:c r="J64" s="109" t="str">
        <x:v>Check exact runtime capabilities</x:v>
      </x:c>
    </x:row>
    <x:row r="65">
      <x:c r="A65" s="109" t="str">
        <x:v>SAM04</x:v>
      </x:c>
      <x:c r="B65" s="109" t="str">
        <x:v>product</x:v>
      </x:c>
      <x:c r="C65" s="109" t="str">
        <x:v>Samsung BP</x:v>
      </x:c>
      <x:c r="D65" s="109" t="str">
        <x:v>BP uses cuff calibration and periodic recalibration</x:v>
      </x:c>
      <x:c r="E65" s="109" t="str">
        <x:v>official newsroom</x:v>
      </x:c>
      <x:c r="F65" s="109" t="str">
        <x:v>https://news.samsung.com/us/samsung-blood-pressure-monitoring-feature-available/</x:v>
      </x:c>
      <x:c r="G65" s="109" t="str">
        <x:v>2026</x:v>
      </x:c>
      <x:c r="H65" s="109" t="str">
        <x:v>2026-07-23</x:v>
      </x:c>
      <x:c r="I65" s="109" t="str">
        <x:v>high</x:v>
      </x:c>
      <x:c r="J65" s="109" t="str">
        <x:v>Not continuous beat-to-beat BP</x:v>
      </x:c>
    </x:row>
    <x:row r="66">
      <x:c r="A66" s="109" t="str">
        <x:v>EMP01</x:v>
      </x:c>
      <x:c r="B66" s="109" t="str">
        <x:v>product</x:v>
      </x:c>
      <x:c r="C66" s="109" t="str">
        <x:v>Empatica EmbracePlus</x:v>
      </x:c>
      <x:c r="D66" s="109" t="str">
        <x:v>EDA, four-channel PPG, accelerometer, gyroscope, temperature, event buttons, and continuous recording</x:v>
      </x:c>
      <x:c r="E66" s="109" t="str">
        <x:v>official product page</x:v>
      </x:c>
      <x:c r="F66" s="109" t="str">
        <x:v>https://www.empatica.com/en-us/embraceplus/</x:v>
      </x:c>
      <x:c r="G66" s="109" t="str">
        <x:v>current</x:v>
      </x:c>
      <x:c r="H66" s="109" t="str">
        <x:v>2026-07-23</x:v>
      </x:c>
      <x:c r="I66" s="109" t="str">
        <x:v>high</x:v>
      </x:c>
      <x:c r="J66" s="109" t="str">
        <x:v>Research and medical platform</x:v>
      </x:c>
    </x:row>
    <x:row r="67">
      <x:c r="A67" s="109" t="str">
        <x:v>EMP02</x:v>
      </x:c>
      <x:c r="B67" s="109" t="str">
        <x:v>data</x:v>
      </x:c>
      <x:c r="C67" s="109" t="str">
        <x:v>Empatica EmbracePlus</x:v>
      </x:c>
      <x:c r="D67" s="109" t="str">
        <x:v>Continuous raw BVP, EDA, temperature, accelerometer, and tags are downloadable in Avro</x:v>
      </x:c>
      <x:c r="E67" s="109" t="str">
        <x:v>official data documentation</x:v>
      </x:c>
      <x:c r="F67" s="109" t="str">
        <x:v>https://www.empatica.com/rawdata/</x:v>
      </x:c>
      <x:c r="G67" s="109" t="str">
        <x:v>current</x:v>
      </x:c>
      <x:c r="H67" s="109" t="str">
        <x:v>2026-07-23</x:v>
      </x:c>
      <x:c r="I67" s="109" t="str">
        <x:v>high</x:v>
      </x:c>
      <x:c r="J67" s="109" t="str">
        <x:v>No BP or ECG</x:v>
      </x:c>
    </x:row>
    <x:row r="68">
      <x:c r="A68" s="109" t="str">
        <x:v>COR01</x:v>
      </x:c>
      <x:c r="B68" s="109" t="str">
        <x:v>product</x:v>
      </x:c>
      <x:c r="C68" s="109" t="str">
        <x:v>Corsano CardioWatch 287-2</x:v>
      </x:c>
      <x:c r="D68" s="109" t="str">
        <x:v>Vendor claims continuous HR, RR, temperature, SpO2, cuffless BP, GSR, and raw multiwavelength PPG</x:v>
      </x:c>
      <x:c r="E68" s="109" t="str">
        <x:v>official product page</x:v>
      </x:c>
      <x:c r="F68" s="109" t="str">
        <x:v>https://corsano.com/products/bracelet-2/</x:v>
      </x:c>
      <x:c r="G68" s="109" t="str">
        <x:v>current</x:v>
      </x:c>
      <x:c r="H68" s="109" t="str">
        <x:v>2026-07-23</x:v>
      </x:c>
      <x:c r="I68" s="109" t="str">
        <x:v>medium</x:v>
      </x:c>
      <x:c r="J68" s="109" t="str">
        <x:v>Endpoint configuration and regulatory scope require confirmation</x:v>
      </x:c>
    </x:row>
    <x:row r="69">
      <x:c r="A69" s="109" t="str">
        <x:v>COR02</x:v>
      </x:c>
      <x:c r="B69" s="109" t="str">
        <x:v>data</x:v>
      </x:c>
      <x:c r="C69" s="109" t="str">
        <x:v>Corsano</x:v>
      </x:c>
      <x:c r="D69" s="109" t="str">
        <x:v>Raw PPG is available in CSV export</x:v>
      </x:c>
      <x:c r="E69" s="109" t="str">
        <x:v>official knowledge base</x:v>
      </x:c>
      <x:c r="F69" s="109" t="str">
        <x:v>https://corsano.com/knowledge-base/content-of-exported-data-file/</x:v>
      </x:c>
      <x:c r="G69" s="109" t="str">
        <x:v>current</x:v>
      </x:c>
      <x:c r="H69" s="109" t="str">
        <x:v>2026-07-23</x:v>
      </x:c>
      <x:c r="I69" s="109" t="str">
        <x:v>high</x:v>
      </x:c>
      <x:c r="J69" s="109" t="str">
        <x:v>Confirm exact firmware and schema</x:v>
      </x:c>
    </x:row>
    <x:row r="70">
      <x:c r="A70" s="109" t="str">
        <x:v>COR03</x:v>
      </x:c>
      <x:c r="B70" s="109" t="str">
        <x:v>data</x:v>
      </x:c>
      <x:c r="C70" s="109" t="str">
        <x:v>Corsano API</x:v>
      </x:c>
      <x:c r="D70" s="109" t="str">
        <x:v>REST and integration API routes include latest values and raw signals</x:v>
      </x:c>
      <x:c r="E70" s="109" t="str">
        <x:v>official developer FAQ</x:v>
      </x:c>
      <x:c r="F70" s="109" t="str">
        <x:v>https://developer.corsano.com/rest/faq/</x:v>
      </x:c>
      <x:c r="G70" s="109" t="str">
        <x:v>current</x:v>
      </x:c>
      <x:c r="H70" s="109" t="str">
        <x:v>2026-07-23</x:v>
      </x:c>
      <x:c r="I70" s="109" t="str">
        <x:v>medium</x:v>
      </x:c>
      <x:c r="J70" s="109" t="str">
        <x:v>Obtain sample payloads and measured latency</x:v>
      </x:c>
    </x:row>
    <x:row r="71">
      <x:c r="A71" s="109" t="str">
        <x:v>COR04</x:v>
      </x:c>
      <x:c r="B71" s="109" t="str">
        <x:v>regulatory</x:v>
      </x:c>
      <x:c r="C71" s="109" t="str">
        <x:v>Corsano CardioWatch 287-2</x:v>
      </x:c>
      <x:c r="D71" s="109" t="str">
        <x:v>Current IFU defines warnings and intended-use boundaries</x:v>
      </x:c>
      <x:c r="E71" s="109" t="str">
        <x:v>official instructions for use</x:v>
      </x:c>
      <x:c r="F71" s="109" t="str">
        <x:v>https://corsano.com/wp-content/uploads/2026/03/EN-IFU-Corsano-CardioWatch-287-2-HCP_v6.pdf</x:v>
      </x:c>
      <x:c r="G71" s="109" t="str">
        <x:v>2026-03</x:v>
      </x:c>
      <x:c r="H71" s="109" t="str">
        <x:v>2026-07-23</x:v>
      </x:c>
      <x:c r="I71" s="109" t="str">
        <x:v>high</x:v>
      </x:c>
      <x:c r="J71" s="109" t="str">
        <x:v>Use labeling and FDA databases rather than marketing alone</x:v>
      </x:c>
    </x:row>
    <x:row r="72">
      <x:c r="A72" s="109" t="str">
        <x:v>HUA01</x:v>
      </x:c>
      <x:c r="B72" s="109" t="str">
        <x:v>product</x:v>
      </x:c>
      <x:c r="C72" s="109" t="str">
        <x:v>Huawei Watch D2</x:v>
      </x:c>
      <x:c r="D72" s="109" t="str">
        <x:v>Inflatable wrist cuff, oscillometric BP and ABPM, ECG, and PPG features</x:v>
      </x:c>
      <x:c r="E72" s="109" t="str">
        <x:v>official product page</x:v>
      </x:c>
      <x:c r="F72" s="109" t="str">
        <x:v>https://consumer.huawei.com/uk/wearables/watch-d2/</x:v>
      </x:c>
      <x:c r="G72" s="109" t="str">
        <x:v>current</x:v>
      </x:c>
      <x:c r="H72" s="109" t="str">
        <x:v>2026-07-23</x:v>
      </x:c>
      <x:c r="I72" s="109" t="str">
        <x:v>high</x:v>
      </x:c>
      <x:c r="J72" s="109" t="str">
        <x:v>Region-specific product information</x:v>
      </x:c>
    </x:row>
    <x:row r="73">
      <x:c r="A73" s="109" t="str">
        <x:v>HUA02</x:v>
      </x:c>
      <x:c r="B73" s="109" t="str">
        <x:v>product</x:v>
      </x:c>
      <x:c r="C73" s="109" t="str">
        <x:v>Huawei Watch D2</x:v>
      </x:c>
      <x:c r="D73" s="109" t="str">
        <x:v>ABPM intervals are 15 to 60 minutes and venous-access cautions apply</x:v>
      </x:c>
      <x:c r="E73" s="109" t="str">
        <x:v>official product detail</x:v>
      </x:c>
      <x:c r="F73" s="109" t="str">
        <x:v>https://consumer.huawei.com/uk/wearables/watch-d2/?progId=304856</x:v>
      </x:c>
      <x:c r="G73" s="109" t="str">
        <x:v>current</x:v>
      </x:c>
      <x:c r="H73" s="109" t="str">
        <x:v>2026-07-23</x:v>
      </x:c>
      <x:c r="I73" s="109" t="str">
        <x:v>high</x:v>
      </x:c>
      <x:c r="J73" s="109" t="str">
        <x:v>Not a rapid continuous BP stream; use opposite the venipuncture arm</x:v>
      </x:c>
    </x:row>
    <x:row r="74">
      <x:c r="A74" s="109" t="str">
        <x:v>HUA04</x:v>
      </x:c>
      <x:c r="B74" s="109" t="str">
        <x:v>data</x:v>
      </x:c>
      <x:c r="C74" s="109" t="str">
        <x:v>Huawei Health Kit</x:v>
      </x:c>
      <x:c r="D74" s="109" t="str">
        <x:v>Health Kit is an authorized health-data integration platform</x:v>
      </x:c>
      <x:c r="E74" s="109" t="str">
        <x:v>official developer page</x:v>
      </x:c>
      <x:c r="F74" s="109" t="str">
        <x:v>https://developer.huawei.com/consumer/de/hms/huaweihealth/</x:v>
      </x:c>
      <x:c r="G74" s="109" t="str">
        <x:v>current</x:v>
      </x:c>
      <x:c r="H74" s="109" t="str">
        <x:v>2026-07-23</x:v>
      </x:c>
      <x:c r="I74" s="109" t="str">
        <x:v>medium</x:v>
      </x:c>
      <x:c r="J74" s="109" t="str">
        <x:v>Exact D2 fields, region, latency, and approval need confirmation</x:v>
      </x:c>
    </x:row>
    <x:row r="75">
      <x:c r="A75" s="109" t="str">
        <x:v>CLN13</x:v>
      </x:c>
      <x:c r="B75" s="109" t="str">
        <x:v>clinical</x:v>
      </x:c>
      <x:c r="C75" s="109" t="str">
        <x:v>AI prediction of adverse blood-donor reactions</x:v>
      </x:c>
      <x:c r="D75" s="109" t="str">
        <x:v>A 2026 systematic review found 13 AI studies but no sufficient evidence for operational adoption; external validation, standardized outcomes, and real-world implementation were lacking</x:v>
      </x:c>
      <x:c r="E75" s="109" t="str">
        <x:v>peer-reviewed systematic review</x:v>
      </x:c>
      <x:c r="F75" s="109" t="str">
        <x:v>https://doi.org/10.1186/s12911-026-03584-0</x:v>
      </x:c>
      <x:c r="G75" s="109" t="str">
        <x:v>2026</x:v>
      </x:c>
      <x:c r="H75" s="109" t="str">
        <x:v>2026-07-23</x:v>
      </x:c>
      <x:c r="I75" s="109" t="str">
        <x:v>high</x:v>
      </x:c>
      <x:c r="J75" s="109" t="str">
        <x:v>The review identified no mature multimodal operational approach and explicitly called for physiological and behavioral integration</x:v>
      </x:c>
    </x:row>
    <x:row r="76">
      <x:c r="A76" s="109" t="str">
        <x:v>CLN14</x:v>
      </x:c>
      <x:c r="B76" s="109" t="str">
        <x:v>clinical</x:v>
      </x:c>
      <x:c r="C76" s="109" t="str">
        <x:v>Electrodermal activity before syncope</x:v>
      </x:c>
      <x:c r="D76" s="109" t="str">
        <x:v>Among 53 patients with tilt-induced syncope, 62% showed an EDA increase 257 ± 357 seconds before syncope, while 25% had no detectable EDA</x:v>
      </x:c>
      <x:c r="E76" s="109" t="str">
        <x:v>peer-reviewed retrospective physiology study</x:v>
      </x:c>
      <x:c r="F76" s="109" t="str">
        <x:v>https://pubmed.ncbi.nlm.nih.gov/15316839/</x:v>
      </x:c>
      <x:c r="G76" s="109" t="str">
        <x:v>2004</x:v>
      </x:c>
      <x:c r="H76" s="109" t="str">
        <x:v>2026-07-23</x:v>
      </x:c>
      <x:c r="I76" s="109" t="str">
        <x:v>high</x:v>
      </x:c>
      <x:c r="J76" s="109" t="str">
        <x:v>EDA often preceded measured BP or cerebral-flow change but was variable and is not a standalone detector</x:v>
      </x:c>
    </x:row>
    <x:row r="77">
      <x:c r="A77" s="109" t="str">
        <x:v>CLN15</x:v>
      </x:c>
      <x:c r="B77" s="109" t="str">
        <x:v>clinical</x:v>
      </x:c>
      <x:c r="C77" s="109" t="str">
        <x:v>Raw-BP reflex-syncope detection</x:v>
      </x:c>
      <x:c r="D77" s="109" t="str">
        <x:v>A convolutional network using raw BP in 1348 HUT patients reported AUROC 0.972 and mean detection 165.35 seconds before reflex syncope</x:v>
      </x:c>
      <x:c r="E77" s="109" t="str">
        <x:v>peer-reviewed machine-learning study</x:v>
      </x:c>
      <x:c r="F77" s="109" t="str">
        <x:v>https://pubmed.ncbi.nlm.nih.gov/40068530/</x:v>
      </x:c>
      <x:c r="G77" s="109" t="str">
        <x:v>2025</x:v>
      </x:c>
      <x:c r="H77" s="109" t="str">
        <x:v>2026-07-23</x:v>
      </x:c>
      <x:c r="I77" s="109" t="str">
        <x:v>high</x:v>
      </x:c>
      <x:c r="J77" s="109" t="str">
        <x:v>Only 57 reflex-syncope cases and internal ten-fold cross-validation; reinforces the need for a continuous BP development reference</x:v>
      </x:c>
    </x:row>
    <x:row r="78">
      <x:c r="A78" s="109" t="str">
        <x:v>CLN16</x:v>
      </x:c>
      <x:c r="B78" s="109" t="str">
        <x:v>clinical</x:v>
      </x:c>
      <x:c r="C78" s="109" t="str">
        <x:v>Multisignal early syncope prediction</x:v>
      </x:c>
      <x:c r="D78" s="109" t="str">
        <x:v>A temporal convolutional autoencoder using HR, SBP, DBP, and high-frequency normalized R-R features reported recall 0.9838, specificity 0.9009, and mean warning time 523.69 seconds</x:v>
      </x:c>
      <x:c r="E78" s="109" t="str">
        <x:v>peer-reviewed machine-learning study</x:v>
      </x:c>
      <x:c r="F78" s="109" t="str">
        <x:v>https://pubmed.ncbi.nlm.nih.gov/42154182/</x:v>
      </x:c>
      <x:c r="G78" s="109" t="str">
        <x:v>2026</x:v>
      </x:c>
      <x:c r="H78" s="109" t="str">
        <x:v>2026-07-23</x:v>
      </x:c>
      <x:c r="I78" s="109" t="str">
        <x:v>high</x:v>
      </x:c>
      <x:c r="J78" s="109" t="str">
        <x:v>Tilt-table dataset and repeated internal validation; not venipuncture or external validation</x:v>
      </x:c>
    </x:row>
    <x:row r="79">
      <x:c r="A79" s="109" t="str">
        <x:v>CLN17</x:v>
      </x:c>
      <x:c r="B79" s="109" t="str">
        <x:v>clinical</x:v>
      </x:c>
      <x:c r="C79" s="109" t="str">
        <x:v>Large HUT hemodynamic sequence</x:v>
      </x:c>
      <x:c r="D79" s="109" t="str">
        <x:v>In 4873 HUT patients, the reported sequence before syncope or near-syncope was an HR rise followed by BP and HR decreases, with age and sex affecting test response</x:v>
      </x:c>
      <x:c r="E79" s="109" t="str">
        <x:v>peer-reviewed cohort study</x:v>
      </x:c>
      <x:c r="F79" s="109" t="str">
        <x:v>https://pubmed.ncbi.nlm.nih.gov/35097001/</x:v>
      </x:c>
      <x:c r="G79" s="109" t="str">
        <x:v>2022</x:v>
      </x:c>
      <x:c r="H79" s="109" t="str">
        <x:v>2026-07-23</x:v>
      </x:c>
      <x:c r="I79" s="109" t="str">
        <x:v>high</x:v>
      </x:c>
      <x:c r="J79" s="109" t="str">
        <x:v>Drug-potentiated tilt testing is not equivalent to venipuncture</x:v>
      </x:c>
    </x:row>
    <x:row r="80">
      <x:c r="A80" s="109" t="str">
        <x:v>CLN18</x:v>
      </x:c>
      <x:c r="B80" s="109" t="str">
        <x:v>clinical</x:v>
      </x:c>
      <x:c r="C80" s="109" t="str">
        <x:v>Timing of VVS prodromes</x:v>
      </x:c>
      <x:c r="D80" s="109" t="str">
        <x:v>In 149 HUT patients, early symptoms occurred more than three minutes before syncope, nausea/weakness/sweating/dizziness occurred one to three minutes before, and blurred vision appeared in the final minute</x:v>
      </x:c>
      <x:c r="E80" s="109" t="str">
        <x:v>peer-reviewed prospective physiology study</x:v>
      </x:c>
      <x:c r="F80" s="109" t="str">
        <x:v>https://academic.oup.com/europace/article/11/9/1221/464641</x:v>
      </x:c>
      <x:c r="G80" s="109" t="str">
        <x:v>2009</x:v>
      </x:c>
      <x:c r="H80" s="109" t="str">
        <x:v>2026-07-23</x:v>
      </x:c>
      <x:c r="I80" s="109" t="str">
        <x:v>high</x:v>
      </x:c>
      <x:c r="J80" s="109" t="str">
        <x:v>Useful for time-resolved symptom labels; nitroglycerin-potentiated HUT limits generalization</x:v>
      </x:c>
    </x:row>
    <x:row r="81">
      <x:c r="A81" s="109" t="str">
        <x:v>CLN19</x:v>
      </x:c>
      <x:c r="B81" s="109" t="str">
        <x:v>clinical</x:v>
      </x:c>
      <x:c r="C81" s="109" t="str">
        <x:v>Standard donor VVR definitions</x:v>
      </x:c>
      <x:c r="D81" s="109" t="str">
        <x:v>ISBT/IHN defines VVR by discomfort and weakness with symptoms such as anxiety, dizziness, nausea, sweating, pallor, pulse change, hypotension, and possible loss of consciousness</x:v>
      </x:c>
      <x:c r="E81" s="109" t="str">
        <x:v>international hemovigilance standard</x:v>
      </x:c>
      <x:c r="F81" s="109" t="str">
        <x:v>https://www.isbtweb.org/asset/EA4C5A03-D325-4893-AED40A4CF6A1C7FE/</x:v>
      </x:c>
      <x:c r="G81" s="109" t="str">
        <x:v>2014</x:v>
      </x:c>
      <x:c r="H81" s="109" t="str">
        <x:v>2026-07-23</x:v>
      </x:c>
      <x:c r="I81" s="109" t="str">
        <x:v>high</x:v>
      </x:c>
      <x:c r="J81" s="109" t="str">
        <x:v>Use standardized no-LOC, LOC-duration, injury, and location categories while retaining separate Vitestro pain and anxiety labels</x:v>
      </x:c>
    </x:row>
    <x:row r="82">
      <x:c r="A82" s="109" t="str">
        <x:v>CLN20</x:v>
      </x:c>
      <x:c r="B82" s="109" t="str">
        <x:v>clinical</x:v>
      </x:c>
      <x:c r="C82" s="109" t="str">
        <x:v>Blood Donation Reactions Inventory</x:v>
      </x:c>
      <x:c r="D82" s="109" t="str">
        <x:v>A four-item BDRI was psychometrically validated as a brief measure of subjective mild prefaint symptoms</x:v>
      </x:c>
      <x:c r="E82" s="109" t="str">
        <x:v>peer-reviewed psychometric validation study</x:v>
      </x:c>
      <x:c r="F82" s="109" t="str">
        <x:v>https://doi.org/10.1111/j.1537-2995.2008.01831.x</x:v>
      </x:c>
      <x:c r="G82" s="109" t="str">
        <x:v>2008</x:v>
      </x:c>
      <x:c r="H82" s="109" t="str">
        <x:v>2026-07-23</x:v>
      </x:c>
      <x:c r="I82" s="109" t="str">
        <x:v>high</x:v>
      </x:c>
      <x:c r="J82" s="109" t="str">
        <x:v>Use as a symptom label, not as the physiological ground truth</x:v>
      </x:c>
    </x:row>
    <x:row r="83">
      <x:c r="A83" s="109" t="str">
        <x:v>VIS01</x:v>
      </x:c>
      <x:c r="B83" s="109" t="str">
        <x:v>clinical</x:v>
      </x:c>
      <x:c r="C83" s="109" t="str">
        <x:v>Facial action units before blood donation</x:v>
      </x:c>
      <x:c r="D83" s="109" t="str">
        <x:v>Seventeen facial action units from 227 blood donors classified low versus high VVR with F1 0.82; eye-region intensity was most predictive</x:v>
      </x:c>
      <x:c r="E83" s="109" t="str">
        <x:v>peer-reviewed machine-learning study</x:v>
      </x:c>
      <x:c r="F83" s="109" t="str">
        <x:v>https://pubmed.ncbi.nlm.nih.gov/36836177/</x:v>
      </x:c>
      <x:c r="G83" s="109" t="str">
        <x:v>2023</x:v>
      </x:c>
      <x:c r="H83" s="109" t="str">
        <x:v>2026-07-23</x:v>
      </x:c>
      <x:c r="I83" s="109" t="str">
        <x:v>high</x:v>
      </x:c>
      <x:c r="J83" s="109" t="str">
        <x:v>Direct blood-donation evidence but no independent external validation</x:v>
      </x:c>
    </x:row>
    <x:row r="84">
      <x:c r="A84" s="109" t="str">
        <x:v>VIS02</x:v>
      </x:c>
      <x:c r="B84" s="109" t="str">
        <x:v>clinical</x:v>
      </x:c>
      <x:c r="C84" s="109" t="str">
        <x:v>Anticipatory facial temperature</x:v>
      </x:c>
      <x:c r="D84" s="109" t="str">
        <x:v>Facial thermal profiles from 193 donors classified later VVR with sensitivity 0.87, specificity 0.84, F1 0.86, and PR-AUC 0.93</x:v>
      </x:c>
      <x:c r="E84" s="109" t="str">
        <x:v>peer-reviewed machine-learning study</x:v>
      </x:c>
      <x:c r="F84" s="109" t="str">
        <x:v>https://pubmed.ncbi.nlm.nih.gov/37316637/</x:v>
      </x:c>
      <x:c r="G84" s="109" t="str">
        <x:v>2023</x:v>
      </x:c>
      <x:c r="H84" s="109" t="str">
        <x:v>2026-07-23</x:v>
      </x:c>
      <x:c r="I84" s="109" t="str">
        <x:v>high</x:v>
      </x:c>
      <x:c r="J84" s="109" t="str">
        <x:v>Test set contained 39 participants; ambient control and specialized imaging are required</x:v>
      </x:c>
    </x:row>
    <x:row r="85">
      <x:c r="A85" s="109" t="str">
        <x:v>VIS03</x:v>
      </x:c>
      <x:c r="B85" s="109" t="str">
        <x:v>clinical</x:v>
      </x:c>
      <x:c r="C85" s="109" t="str">
        <x:v>Short facial video before needle reactions</x:v>
      </x:c>
      <x:c r="D85" s="109" t="str">
        <x:v>A 2D-CNN with recurrent layers analyzed facial video for VVR classification and reported that short clips could support faster real-time inference</x:v>
      </x:c>
      <x:c r="E85" s="109" t="str">
        <x:v>peer-reviewed machine-learning study</x:v>
      </x:c>
      <x:c r="F85" s="109" t="str">
        <x:v>https://pmc.ncbi.nlm.nih.gov/articles/PMC11760633/</x:v>
      </x:c>
      <x:c r="G85" s="109" t="str">
        <x:v>2025</x:v>
      </x:c>
      <x:c r="H85" s="109" t="str">
        <x:v>2026-07-23</x:v>
      </x:c>
      <x:c r="I85" s="109" t="str">
        <x:v>medium</x:v>
      </x:c>
      <x:c r="J85" s="109" t="str">
        <x:v>Direct donor-video study; performance and demographic robustness require independent replication</x:v>
      </x:c>
    </x:row>
    <x:row r="86">
      <x:c r="A86" s="109" t="str">
        <x:v>VIV01</x:v>
      </x:c>
      <x:c r="B86" s="109" t="str">
        <x:v>product</x:v>
      </x:c>
      <x:c r="C86" s="109" t="str">
        <x:v>Vivalink VV330/VV350 Continuous ECG Platform</x:v>
      </x:c>
      <x:c r="D86" s="109" t="str">
        <x:v>Reusable patch provides 128 Hz ECG, HR, HRV, R-R, respiration, skin temperature, posture, steps, and accelerometry with live streaming or recording</x:v>
      </x:c>
      <x:c r="E86" s="109" t="str">
        <x:v>official product page</x:v>
      </x:c>
      <x:c r="F86" s="109" t="str">
        <x:v>https://www.vivalink.com/wearable-ecg-monitor</x:v>
      </x:c>
      <x:c r="G86" s="109" t="str">
        <x:v>current</x:v>
      </x:c>
      <x:c r="H86" s="109" t="str">
        <x:v>2026-07-23</x:v>
      </x:c>
      <x:c r="I86" s="109" t="str">
        <x:v>high</x:v>
      </x:c>
      <x:c r="J86" s="109" t="str">
        <x:v>FDA scope listed for ECG and HR; other channels and model-specific fields require contract confirmation</x:v>
      </x:c>
    </x:row>
    <x:row r="87">
      <x:c r="A87" s="109" t="str">
        <x:v>VIV02</x:v>
      </x:c>
      <x:c r="B87" s="109" t="str">
        <x:v>data</x:v>
      </x:c>
      <x:c r="C87" s="109" t="str">
        <x:v>Vivalink SDK</x:v>
      </x:c>
      <x:c r="D87" s="109" t="str">
        <x:v>Mobile SDK, cloud web services, sample source code, APIs, and file downloads support direct application integration</x:v>
      </x:c>
      <x:c r="E87" s="109" t="str">
        <x:v>official developer page</x:v>
      </x:c>
      <x:c r="F87" s="109" t="str">
        <x:v>https://www.vivalink.com/vivalink-sdk</x:v>
      </x:c>
      <x:c r="G87" s="109" t="str">
        <x:v>current</x:v>
      </x:c>
      <x:c r="H87" s="109" t="str">
        <x:v>2026-07-23</x:v>
      </x:c>
      <x:c r="I87" s="109" t="str">
        <x:v>high</x:v>
      </x:c>
      <x:c r="J87" s="109" t="str">
        <x:v>Obtain a versioned sample payload and verify local versus cloud latency</x:v>
      </x:c>
    </x:row>
    <x:row r="88">
      <x:c r="A88" s="109" t="str">
        <x:v>VIV03</x:v>
      </x:c>
      <x:c r="B88" s="109" t="str">
        <x:v>regulatory</x:v>
      </x:c>
      <x:c r="C88" s="109" t="str">
        <x:v>Vivalink VV330</x:v>
      </x:c>
      <x:c r="D88" s="109" t="str">
        <x:v>GUDID lists VV330 as commercially distributed and describes wireless ECG, accelerometer, R-R, and HR transmission</x:v>
      </x:c>
      <x:c r="E88" s="109" t="str">
        <x:v>FDA GUDID record</x:v>
      </x:c>
      <x:c r="F88" s="109" t="str">
        <x:v>https://accessgudid.nlm.nih.gov/devices/00865064000157</x:v>
      </x:c>
      <x:c r="G88" s="109" t="str">
        <x:v>current</x:v>
      </x:c>
      <x:c r="H88" s="109" t="str">
        <x:v>2026-07-23</x:v>
      </x:c>
      <x:c r="I88" s="109" t="str">
        <x:v>high</x:v>
      </x:c>
      <x:c r="J88" s="109" t="str">
        <x:v>General-care recording platform; not a critical-care replacement</x:v>
      </x:c>
    </x:row>
    <x:row r="89">
      <x:c r="A89" s="109" t="str">
        <x:v>VAL13</x:v>
      </x:c>
      <x:c r="B89" s="109" t="str">
        <x:v>validation</x:v>
      </x:c>
      <x:c r="C89" s="109" t="str">
        <x:v>Vivalink VV330</x:v>
      </x:c>
      <x:c r="D89" s="109" t="str">
        <x:v>A published 2026 dataset used 128 Hz ECG, 50 Hz accelerometry, and 1 Hz HR from the Vivalink patch</x:v>
      </x:c>
      <x:c r="E89" s="109" t="str">
        <x:v>peer-reviewed device-use study</x:v>
      </x:c>
      <x:c r="F89" s="109" t="str">
        <x:v>https://pmc.ncbi.nlm.nih.gov/articles/PMC13082138/</x:v>
      </x:c>
      <x:c r="G89" s="109" t="str">
        <x:v>2026</x:v>
      </x:c>
      <x:c r="H89" s="109" t="str">
        <x:v>2026-07-23</x:v>
      </x:c>
      <x:c r="I89" s="109" t="str">
        <x:v>medium</x:v>
      </x:c>
      <x:c r="J89" s="109" t="str">
        <x:v>Supports accessible raw ECG/motion data, not presyncope accuracy</x:v>
      </x:c>
    </x:row>
    <x:row r="90">
      <x:c r="A90" s="109" t="str">
        <x:v>SIB01</x:v>
      </x:c>
      <x:c r="B90" s="109" t="str">
        <x:v>product</x:v>
      </x:c>
      <x:c r="C90" s="109" t="str">
        <x:v>Sibel ANNE One</x:v>
      </x:c>
      <x:c r="D90" s="109" t="str">
        <x:v>FDA-cleared dual-sensor platform streams real-time data and supports continuous adult monitoring</x:v>
      </x:c>
      <x:c r="E90" s="109" t="str">
        <x:v>official product page</x:v>
      </x:c>
      <x:c r="F90" s="109" t="str">
        <x:v>https://sibelhealth.com/clinical-care/</x:v>
      </x:c>
      <x:c r="G90" s="109" t="str">
        <x:v>current</x:v>
      </x:c>
      <x:c r="H90" s="109" t="str">
        <x:v>2026-07-23</x:v>
      </x:c>
      <x:c r="I90" s="109" t="str">
        <x:v>high</x:v>
      </x:c>
      <x:c r="J90" s="109" t="str">
        <x:v>Exact research export and SDK entitlements require a vendor contract</x:v>
      </x:c>
    </x:row>
    <x:row r="91">
      <x:c r="A91" s="109" t="str">
        <x:v>SIB02</x:v>
      </x:c>
      <x:c r="B91" s="109" t="str">
        <x:v>regulatory</x:v>
      </x:c>
      <x:c r="C91" s="109" t="str">
        <x:v>Sibel ANNE One</x:v>
      </x:c>
      <x:c r="D91" s="109" t="str">
        <x:v>FDA 510(k) K223711 lists ANNE One as a physiological-signal transmitter and receiver</x:v>
      </x:c>
      <x:c r="E91" s="109" t="str">
        <x:v>FDA 510(k) record</x:v>
      </x:c>
      <x:c r="F91" s="109" t="str">
        <x:v>https://www.accessdata.fda.gov/scripts/cdrh/cfdocs/cfpmn/pmn.cfm?ID=K223711</x:v>
      </x:c>
      <x:c r="G91" s="109" t="str">
        <x:v>2023</x:v>
      </x:c>
      <x:c r="H91" s="109" t="str">
        <x:v>2026-07-23</x:v>
      </x:c>
      <x:c r="I91" s="109" t="str">
        <x:v>high</x:v>
      </x:c>
      <x:c r="J91" s="109" t="str">
        <x:v>Verify the exact intended-use configuration for the adult Vitestro study</x:v>
      </x:c>
    </x:row>
    <x:row r="92">
      <x:c r="A92" s="109" t="str">
        <x:v>SIB03</x:v>
      </x:c>
      <x:c r="B92" s="109" t="str">
        <x:v>data</x:v>
      </x:c>
      <x:c r="C92" s="109" t="str">
        <x:v>Sibel ANNE One</x:v>
      </x:c>
      <x:c r="D92" s="109" t="str">
        <x:v>A peer-reviewed methods report documents synchronized 512 Hz ECG, 128 Hz finger PPG, 1 Hz skin temperature, and high-rate accelerometry</x:v>
      </x:c>
      <x:c r="E92" s="109" t="str">
        <x:v>peer-reviewed device methods study</x:v>
      </x:c>
      <x:c r="F92" s="109" t="str">
        <x:v>https://www.nature.com/articles/s41746-024-01287-2</x:v>
      </x:c>
      <x:c r="G92" s="109" t="str">
        <x:v>2024</x:v>
      </x:c>
      <x:c r="H92" s="109" t="str">
        <x:v>2026-07-23</x:v>
      </x:c>
      <x:c r="I92" s="109" t="str">
        <x:v>high</x:v>
      </x:c>
      <x:c r="J92" s="109" t="str">
        <x:v>Research access was available in the study; public commercial API terms are not established</x:v>
      </x:c>
    </x:row>
    <x:row r="93">
      <x:c r="A93" s="109" t="str">
        <x:v>VAL14</x:v>
      </x:c>
      <x:c r="B93" s="109" t="str">
        <x:v>validation</x:v>
      </x:c>
      <x:c r="C93" s="109" t="str">
        <x:v>Sibel ANNE One</x:v>
      </x:c>
      <x:c r="D93" s="109" t="str">
        <x:v>ANNE One has been used as an FDA-cleared clinical-grade platform with raw synchronized chest ECG and finger PPG</x:v>
      </x:c>
      <x:c r="E93" s="109" t="str">
        <x:v>peer-reviewed device-use study</x:v>
      </x:c>
      <x:c r="F93" s="109" t="str">
        <x:v>https://www.nature.com/articles/s41746-024-01287-2</x:v>
      </x:c>
      <x:c r="G93" s="109" t="str">
        <x:v>2024</x:v>
      </x:c>
      <x:c r="H93" s="109" t="str">
        <x:v>2026-07-23</x:v>
      </x:c>
      <x:c r="I93" s="109" t="str">
        <x:v>medium</x:v>
      </x:c>
      <x:c r="J93" s="109" t="str">
        <x:v>Study target was cardiorespiratory illness rather than presyncope</x:v>
      </x:c>
    </x:row>
    <x:row r="94">
      <x:c r="A94" s="109" t="str">
        <x:v>BST01</x:v>
      </x:c>
      <x:c r="B94" s="109" t="str">
        <x:v>regulatory</x:v>
      </x:c>
      <x:c r="C94" s="109" t="str">
        <x:v>Medidata BioStamp nPoint</x:v>
      </x:c>
      <x:c r="D94" s="109" t="str">
        <x:v>FDA 510(k) K173510 covers a wireless research and clinical remote-monitoring system with raw sensor processing and HR, HRV, posture, sleep, and respiratory outputs</x:v>
      </x:c>
      <x:c r="E94" s="109" t="str">
        <x:v>FDA 510(k) record</x:v>
      </x:c>
      <x:c r="F94" s="109" t="str">
        <x:v>https://www.accessdata.fda.gov/scripts/cdrh/cfdocs/cfpmn/pmn.cfm?ID=K173510</x:v>
      </x:c>
      <x:c r="G94" s="109" t="str">
        <x:v>2018</x:v>
      </x:c>
      <x:c r="H94" s="109" t="str">
        <x:v>2026-07-23</x:v>
      </x:c>
      <x:c r="I94" s="109" t="str">
        <x:v>high</x:v>
      </x:c>
      <x:c r="J94" s="109" t="str">
        <x:v>Not intended for critical-care use</x:v>
      </x:c>
    </x:row>
    <x:row r="95">
      <x:c r="A95" s="109" t="str">
        <x:v>BST02</x:v>
      </x:c>
      <x:c r="B95" s="109" t="str">
        <x:v>data</x:v>
      </x:c>
      <x:c r="C95" s="109" t="str">
        <x:v>Medidata Sensors</x:v>
      </x:c>
      <x:c r="D95" s="109" t="str">
        <x:v>Sensor Cloud supports continuous and episodic trial-grade sensor integrations and endpoint-oriented data management</x:v>
      </x:c>
      <x:c r="E95" s="109" t="str">
        <x:v>official platform page</x:v>
      </x:c>
      <x:c r="F95" s="109" t="str">
        <x:v>https://www.medidata.com/en/patient-experience/wearable-sensors/</x:v>
      </x:c>
      <x:c r="G95" s="109" t="str">
        <x:v>current</x:v>
      </x:c>
      <x:c r="H95" s="109" t="str">
        <x:v>2026-07-23</x:v>
      </x:c>
      <x:c r="I95" s="109" t="str">
        <x:v>high</x:v>
      </x:c>
      <x:c r="J95" s="109" t="str">
        <x:v>Public material does not establish a low-latency alert API</x:v>
      </x:c>
    </x:row>
    <x:row r="96">
      <x:c r="A96" s="109" t="str">
        <x:v>VAL15</x:v>
      </x:c>
      <x:c r="B96" s="109" t="str">
        <x:v>validation</x:v>
      </x:c>
      <x:c r="C96" s="109" t="str">
        <x:v>BioStamp nPoint</x:v>
      </x:c>
      <x:c r="D96" s="109" t="str">
        <x:v>A pivotal study describes continuous raw accelerometer, gyroscope, and biopotential data collection through a conformal wearable research system</x:v>
      </x:c>
      <x:c r="E96" s="109" t="str">
        <x:v>peer-reviewed pivotal validation study</x:v>
      </x:c>
      <x:c r="F96" s="109" t="str">
        <x:v>https://pmc.ncbi.nlm.nih.gov/articles/PMC7015390/</x:v>
      </x:c>
      <x:c r="G96" s="109" t="str">
        <x:v>2020</x:v>
      </x:c>
      <x:c r="H96" s="109" t="str">
        <x:v>2026-07-23</x:v>
      </x:c>
      <x:c r="I96" s="109" t="str">
        <x:v>high</x:v>
      </x:c>
      <x:c r="J96" s="109" t="str">
        <x:v>Cloud transfer and daily charging are important operational constraints</x:v>
      </x:c>
    </x:row>
  </x:sheetData>
  <x:pageMargins left="0.7" right="0.7" top="0.75" bottom="0.75" header="0.3" footer="0.3"/>
  <x:tableParts count="1">
    <x:tablePart xmlns:r="http://schemas.openxmlformats.org/officeDocument/2006/relationships" r:id="Re64cece4bdb94774"/>
  </x:tableParts>
</x:worksheet>
</file>